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0.xml" ContentType="application/vnd.openxmlformats-officedocument.spreadsheetml.pivotTab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1.xml" ContentType="application/vnd.openxmlformats-officedocument.spreadsheetml.pivotTable+xml"/>
  <Override PartName="/xl/drawings/drawing9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7c41d8bb86f71b/Documents/JC Parks and Rec stuff/"/>
    </mc:Choice>
  </mc:AlternateContent>
  <xr:revisionPtr revIDLastSave="2994" documentId="8_{DF45A9EA-9136-4A06-8044-BF92D2956FA2}" xr6:coauthVersionLast="47" xr6:coauthVersionMax="47" xr10:uidLastSave="{DCD41D03-D9DC-4933-820A-9D6CDBCEF369}"/>
  <bookViews>
    <workbookView xWindow="5730" yWindow="4120" windowWidth="30980" windowHeight="16090" tabRatio="500" firstSheet="4" activeTab="12" xr2:uid="{00000000-000D-0000-FFFF-FFFF00000000}"/>
  </bookViews>
  <sheets>
    <sheet name="2022" sheetId="2" r:id="rId1"/>
    <sheet name="2023" sheetId="3" r:id="rId2"/>
    <sheet name="Sheet1" sheetId="5" r:id="rId3"/>
    <sheet name="2021" sheetId="4" r:id="rId4"/>
    <sheet name="Sheet6" sheetId="10" r:id="rId5"/>
    <sheet name="Sheet7" sheetId="11" r:id="rId6"/>
    <sheet name="Sheet8" sheetId="12" r:id="rId7"/>
    <sheet name="Sheet9" sheetId="13" r:id="rId8"/>
    <sheet name="Sheet12" sheetId="16" r:id="rId9"/>
    <sheet name="Sheet13" sheetId="17" r:id="rId10"/>
    <sheet name="Sheet11" sheetId="15" r:id="rId11"/>
    <sheet name="Sheet2" sheetId="18" r:id="rId12"/>
    <sheet name="Combined" sheetId="1" r:id="rId13"/>
  </sheets>
  <definedNames>
    <definedName name="ExternalData_1" localSheetId="3" hidden="1">'2021'!$A$1:$J$35</definedName>
    <definedName name="ExternalData_1" localSheetId="0" hidden="1">'2022'!$A$1:$J$36</definedName>
    <definedName name="ExternalData_1" localSheetId="1" hidden="1">'2023'!$A$1:$J$30</definedName>
  </definedNames>
  <calcPr calcId="191029" iterateDelta="1E-4"/>
  <pivotCaches>
    <pivotCache cacheId="4" r:id="rId14"/>
    <pivotCache cacheId="5" r:id="rId15"/>
    <pivotCache cacheId="6" r:id="rId16"/>
    <pivotCache cacheId="7" r:id="rId17"/>
    <pivotCache cacheId="8" r:id="rId18"/>
    <pivotCache cacheId="9" r:id="rId19"/>
    <pivotCache cacheId="10" r:id="rId20"/>
    <pivotCache cacheId="27" r:id="rId2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21" i="1" l="1"/>
  <c r="Y20" i="1"/>
  <c r="Y19" i="1"/>
  <c r="Y18" i="1"/>
  <c r="Y17" i="1"/>
  <c r="Y14" i="1"/>
  <c r="Y3" i="1"/>
  <c r="Y4" i="1" s="1"/>
  <c r="Y5" i="1" s="1"/>
  <c r="Y6" i="1" s="1"/>
  <c r="Y7" i="1" s="1"/>
  <c r="Y8" i="1" s="1"/>
  <c r="Y9" i="1" s="1"/>
  <c r="U14" i="1"/>
  <c r="U13" i="1"/>
  <c r="U12" i="1"/>
  <c r="U10" i="1"/>
  <c r="U9" i="1"/>
  <c r="U8" i="1"/>
  <c r="U7" i="1"/>
  <c r="U6" i="1"/>
  <c r="U5" i="1"/>
  <c r="U4" i="1"/>
  <c r="U3" i="1"/>
  <c r="C64" i="18"/>
  <c r="C63" i="18"/>
  <c r="C62" i="18"/>
  <c r="C61" i="18"/>
  <c r="C60" i="18"/>
  <c r="C59" i="18"/>
  <c r="C58" i="18"/>
  <c r="Q110" i="1"/>
  <c r="Q109" i="1"/>
  <c r="Q108" i="1"/>
  <c r="P110" i="1"/>
  <c r="P109" i="1"/>
  <c r="P108" i="1"/>
  <c r="O110" i="1"/>
  <c r="O109" i="1"/>
  <c r="O108" i="1"/>
  <c r="K110" i="1"/>
  <c r="K109" i="1"/>
  <c r="J110" i="1"/>
  <c r="J109" i="1"/>
  <c r="I110" i="1"/>
  <c r="I109" i="1"/>
  <c r="J108" i="1"/>
  <c r="K108" i="1"/>
  <c r="I108" i="1"/>
  <c r="Q11" i="11" l="1"/>
  <c r="Q10" i="11"/>
  <c r="Q5" i="11"/>
  <c r="Q9" i="11"/>
  <c r="O13" i="11"/>
  <c r="K3" i="11"/>
  <c r="K2" i="11"/>
  <c r="O4" i="11"/>
  <c r="O3" i="11"/>
  <c r="N4" i="11"/>
  <c r="N3" i="11"/>
  <c r="N2" i="11"/>
  <c r="M3" i="11"/>
  <c r="M2" i="11"/>
  <c r="L4" i="11"/>
  <c r="L3" i="11"/>
  <c r="L2" i="11"/>
  <c r="M58" i="1"/>
  <c r="M57" i="1"/>
  <c r="M56" i="1"/>
  <c r="M4" i="1"/>
  <c r="M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3" i="1"/>
  <c r="M32" i="1"/>
  <c r="M31" i="1"/>
  <c r="M30" i="1"/>
  <c r="M29" i="1"/>
  <c r="M28" i="1"/>
  <c r="M2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65" i="5"/>
  <c r="K64" i="5"/>
  <c r="K63" i="5"/>
  <c r="K62" i="5"/>
  <c r="K61" i="5"/>
  <c r="K60" i="5"/>
  <c r="K58" i="5"/>
  <c r="K57" i="5"/>
  <c r="K55" i="5"/>
  <c r="K54" i="5"/>
  <c r="K53" i="5"/>
  <c r="K52" i="5"/>
  <c r="K51" i="5"/>
  <c r="K50" i="5"/>
  <c r="K49" i="5"/>
  <c r="K48" i="5"/>
  <c r="K46" i="5"/>
  <c r="K45" i="5"/>
  <c r="K44" i="5"/>
  <c r="K43" i="5"/>
  <c r="M40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K40" i="5"/>
  <c r="K39" i="5"/>
  <c r="K38" i="5"/>
  <c r="K36" i="5"/>
  <c r="K35" i="5"/>
  <c r="K34" i="5"/>
  <c r="H34" i="5"/>
  <c r="K33" i="5"/>
  <c r="H33" i="5"/>
  <c r="K32" i="5"/>
  <c r="H32" i="5"/>
  <c r="K31" i="5"/>
  <c r="H31" i="5"/>
  <c r="K30" i="5"/>
  <c r="H30" i="5"/>
  <c r="K29" i="5"/>
  <c r="H29" i="5"/>
  <c r="K28" i="5"/>
  <c r="H28" i="5"/>
  <c r="K27" i="5"/>
  <c r="H27" i="5"/>
  <c r="K26" i="5"/>
  <c r="H26" i="5"/>
  <c r="K23" i="5"/>
  <c r="H23" i="5"/>
  <c r="K20" i="5"/>
  <c r="K22" i="5"/>
  <c r="H22" i="5"/>
  <c r="H20" i="5"/>
  <c r="K18" i="5"/>
  <c r="H18" i="5"/>
  <c r="K16" i="5"/>
  <c r="H16" i="5"/>
  <c r="K13" i="5"/>
  <c r="H13" i="5"/>
  <c r="K11" i="5"/>
  <c r="H11" i="5"/>
  <c r="H19" i="3"/>
  <c r="I19" i="3" s="1"/>
  <c r="J19" i="3" s="1"/>
  <c r="I20" i="3"/>
  <c r="J20" i="3" s="1"/>
  <c r="H101" i="1"/>
  <c r="I101" i="1" s="1"/>
  <c r="J101" i="1" s="1"/>
  <c r="H100" i="1"/>
  <c r="I100" i="1" s="1"/>
  <c r="J100" i="1" s="1"/>
  <c r="H99" i="1"/>
  <c r="I99" i="1" s="1"/>
  <c r="J99" i="1" s="1"/>
  <c r="H98" i="1"/>
  <c r="I98" i="1" s="1"/>
  <c r="J98" i="1" s="1"/>
  <c r="H97" i="1"/>
  <c r="I97" i="1" s="1"/>
  <c r="J97" i="1" s="1"/>
  <c r="H96" i="1"/>
  <c r="I96" i="1" s="1"/>
  <c r="J96" i="1" s="1"/>
  <c r="H95" i="1"/>
  <c r="I95" i="1" s="1"/>
  <c r="J95" i="1" s="1"/>
  <c r="H94" i="1"/>
  <c r="I94" i="1" s="1"/>
  <c r="J94" i="1" s="1"/>
  <c r="H93" i="1"/>
  <c r="I93" i="1" s="1"/>
  <c r="J93" i="1" s="1"/>
  <c r="H92" i="1"/>
  <c r="I92" i="1" s="1"/>
  <c r="J92" i="1" s="1"/>
  <c r="H91" i="1"/>
  <c r="I91" i="1" s="1"/>
  <c r="J91" i="1" s="1"/>
  <c r="H90" i="1"/>
  <c r="I90" i="1" s="1"/>
  <c r="J90" i="1" s="1"/>
  <c r="H89" i="1"/>
  <c r="I89" i="1" s="1"/>
  <c r="J89" i="1" s="1"/>
  <c r="H88" i="1"/>
  <c r="I88" i="1" s="1"/>
  <c r="J88" i="1" s="1"/>
  <c r="H87" i="1"/>
  <c r="I87" i="1" s="1"/>
  <c r="J87" i="1" s="1"/>
  <c r="H86" i="1"/>
  <c r="I86" i="1" s="1"/>
  <c r="J86" i="1" s="1"/>
  <c r="H85" i="1"/>
  <c r="I85" i="1" s="1"/>
  <c r="J85" i="1" s="1"/>
  <c r="H84" i="1"/>
  <c r="I84" i="1" s="1"/>
  <c r="J84" i="1" s="1"/>
  <c r="H83" i="1"/>
  <c r="I83" i="1" s="1"/>
  <c r="J83" i="1" s="1"/>
  <c r="H82" i="1"/>
  <c r="I82" i="1"/>
  <c r="J82" i="1" s="1"/>
  <c r="H81" i="1"/>
  <c r="I81" i="1" s="1"/>
  <c r="J81" i="1" s="1"/>
  <c r="H80" i="1"/>
  <c r="I80" i="1" s="1"/>
  <c r="J80" i="1" s="1"/>
  <c r="H79" i="1"/>
  <c r="I79" i="1" s="1"/>
  <c r="J79" i="1" s="1"/>
  <c r="H78" i="1"/>
  <c r="I78" i="1" s="1"/>
  <c r="J78" i="1" s="1"/>
  <c r="H77" i="1"/>
  <c r="I77" i="1" s="1"/>
  <c r="J77" i="1" s="1"/>
  <c r="H76" i="1"/>
  <c r="I76" i="1" s="1"/>
  <c r="J76" i="1" s="1"/>
  <c r="H75" i="1"/>
  <c r="I75" i="1" s="1"/>
  <c r="J75" i="1" s="1"/>
  <c r="H74" i="1"/>
  <c r="I74" i="1" s="1"/>
  <c r="J74" i="1" s="1"/>
  <c r="H73" i="1"/>
  <c r="I73" i="1" s="1"/>
  <c r="J73" i="1" s="1"/>
  <c r="H72" i="1"/>
  <c r="I72" i="1" s="1"/>
  <c r="J72" i="1" s="1"/>
  <c r="H71" i="1"/>
  <c r="I71" i="1" s="1"/>
  <c r="J71" i="1" s="1"/>
  <c r="H70" i="1"/>
  <c r="I70" i="1" s="1"/>
  <c r="J70" i="1" s="1"/>
  <c r="H69" i="1"/>
  <c r="I69" i="1"/>
  <c r="J69" i="1" s="1"/>
  <c r="H68" i="1"/>
  <c r="I68" i="1" s="1"/>
  <c r="J68" i="1" s="1"/>
  <c r="H66" i="1"/>
  <c r="I66" i="1" s="1"/>
  <c r="J66" i="1" s="1"/>
  <c r="H65" i="1"/>
  <c r="I65" i="1" s="1"/>
  <c r="J65" i="1" s="1"/>
  <c r="H64" i="1"/>
  <c r="I64" i="1" s="1"/>
  <c r="J64" i="1" s="1"/>
  <c r="H63" i="1"/>
  <c r="I63" i="1" s="1"/>
  <c r="J63" i="1" s="1"/>
  <c r="H62" i="1"/>
  <c r="I62" i="1" s="1"/>
  <c r="J62" i="1" s="1"/>
  <c r="H61" i="1"/>
  <c r="I61" i="1" s="1"/>
  <c r="J61" i="1" s="1"/>
  <c r="H60" i="1"/>
  <c r="I60" i="1" s="1"/>
  <c r="J60" i="1" s="1"/>
  <c r="H59" i="1"/>
  <c r="I59" i="1" s="1"/>
  <c r="J59" i="1" s="1"/>
  <c r="E59" i="1"/>
  <c r="D59" i="1"/>
  <c r="H58" i="1"/>
  <c r="I58" i="1" s="1"/>
  <c r="J58" i="1" s="1"/>
  <c r="E58" i="1"/>
  <c r="D58" i="1"/>
  <c r="H57" i="1"/>
  <c r="I57" i="1" s="1"/>
  <c r="J57" i="1" s="1"/>
  <c r="H56" i="1"/>
  <c r="I56" i="1" s="1"/>
  <c r="J56" i="1" s="1"/>
  <c r="H55" i="1"/>
  <c r="I55" i="1" s="1"/>
  <c r="J55" i="1" s="1"/>
  <c r="H54" i="1"/>
  <c r="I54" i="1" s="1"/>
  <c r="J54" i="1" s="1"/>
  <c r="H53" i="1"/>
  <c r="I53" i="1" s="1"/>
  <c r="J53" i="1" s="1"/>
  <c r="H52" i="1"/>
  <c r="I52" i="1" s="1"/>
  <c r="J52" i="1" s="1"/>
  <c r="H51" i="1"/>
  <c r="I51" i="1" s="1"/>
  <c r="J51" i="1" s="1"/>
  <c r="H50" i="1"/>
  <c r="I50" i="1" s="1"/>
  <c r="J50" i="1" s="1"/>
  <c r="H49" i="1"/>
  <c r="I49" i="1" s="1"/>
  <c r="J49" i="1" s="1"/>
  <c r="H48" i="1"/>
  <c r="I48" i="1" s="1"/>
  <c r="J48" i="1" s="1"/>
  <c r="E48" i="1"/>
  <c r="D48" i="1"/>
  <c r="H47" i="1"/>
  <c r="I47" i="1" s="1"/>
  <c r="J47" i="1" s="1"/>
  <c r="H46" i="1"/>
  <c r="I46" i="1" s="1"/>
  <c r="J46" i="1" s="1"/>
  <c r="H45" i="1"/>
  <c r="I45" i="1" s="1"/>
  <c r="J45" i="1" s="1"/>
  <c r="H44" i="1"/>
  <c r="I44" i="1" s="1"/>
  <c r="J44" i="1" s="1"/>
  <c r="H43" i="1"/>
  <c r="I43" i="1" s="1"/>
  <c r="J43" i="1" s="1"/>
  <c r="E43" i="1"/>
  <c r="D43" i="1"/>
  <c r="H42" i="1"/>
  <c r="I42" i="1" s="1"/>
  <c r="J42" i="1" s="1"/>
  <c r="E42" i="1"/>
  <c r="D42" i="1"/>
  <c r="H41" i="1"/>
  <c r="I41" i="1" s="1"/>
  <c r="J41" i="1" s="1"/>
  <c r="E41" i="1"/>
  <c r="D41" i="1"/>
  <c r="H40" i="1"/>
  <c r="I40" i="1" s="1"/>
  <c r="J40" i="1" s="1"/>
  <c r="H39" i="1"/>
  <c r="I39" i="1" s="1"/>
  <c r="J39" i="1" s="1"/>
  <c r="H38" i="1"/>
  <c r="I38" i="1" s="1"/>
  <c r="J38" i="1" s="1"/>
  <c r="H36" i="1"/>
  <c r="I36" i="1" s="1"/>
  <c r="J36" i="1" s="1"/>
  <c r="H35" i="1"/>
  <c r="I35" i="1" s="1"/>
  <c r="J35" i="1" s="1"/>
  <c r="H34" i="1"/>
  <c r="I34" i="1" s="1"/>
  <c r="J34" i="1" s="1"/>
  <c r="H33" i="1"/>
  <c r="I33" i="1" s="1"/>
  <c r="J33" i="1" s="1"/>
  <c r="H32" i="1"/>
  <c r="I32" i="1" s="1"/>
  <c r="J32" i="1" s="1"/>
  <c r="H30" i="1"/>
  <c r="I30" i="1" s="1"/>
  <c r="J30" i="1" s="1"/>
  <c r="E30" i="1"/>
  <c r="D30" i="1"/>
  <c r="H29" i="1"/>
  <c r="I29" i="1" s="1"/>
  <c r="J29" i="1" s="1"/>
  <c r="E29" i="1"/>
  <c r="D29" i="1"/>
  <c r="H27" i="1"/>
  <c r="I27" i="1" s="1"/>
  <c r="J27" i="1" s="1"/>
  <c r="E27" i="1"/>
  <c r="D27" i="1"/>
  <c r="H26" i="1"/>
  <c r="I26" i="1" s="1"/>
  <c r="J26" i="1" s="1"/>
  <c r="E26" i="1"/>
  <c r="D26" i="1"/>
  <c r="H25" i="1"/>
  <c r="I25" i="1" s="1"/>
  <c r="J25" i="1" s="1"/>
  <c r="E25" i="1"/>
  <c r="D25" i="1"/>
  <c r="H24" i="1"/>
  <c r="I24" i="1" s="1"/>
  <c r="J24" i="1" s="1"/>
  <c r="E24" i="1"/>
  <c r="D24" i="1"/>
  <c r="H23" i="1"/>
  <c r="I23" i="1" s="1"/>
  <c r="J23" i="1" s="1"/>
  <c r="E23" i="1"/>
  <c r="D23" i="1"/>
  <c r="H22" i="1"/>
  <c r="I22" i="1" s="1"/>
  <c r="J22" i="1" s="1"/>
  <c r="F22" i="1"/>
  <c r="H21" i="1"/>
  <c r="I21" i="1" s="1"/>
  <c r="J21" i="1" s="1"/>
  <c r="E21" i="1"/>
  <c r="D21" i="1"/>
  <c r="H20" i="1"/>
  <c r="I20" i="1" s="1"/>
  <c r="J20" i="1" s="1"/>
  <c r="E20" i="1"/>
  <c r="D20" i="1"/>
  <c r="J19" i="1"/>
  <c r="H18" i="1"/>
  <c r="I18" i="1" s="1"/>
  <c r="J18" i="1" s="1"/>
  <c r="E18" i="1"/>
  <c r="D18" i="1"/>
  <c r="H17" i="1"/>
  <c r="I17" i="1" s="1"/>
  <c r="J17" i="1" s="1"/>
  <c r="F17" i="1"/>
  <c r="F20" i="1" s="1"/>
  <c r="H16" i="1"/>
  <c r="I16" i="1" s="1"/>
  <c r="J16" i="1" s="1"/>
  <c r="F16" i="1"/>
  <c r="E16" i="1"/>
  <c r="D16" i="1"/>
  <c r="H15" i="1"/>
  <c r="I15" i="1" s="1"/>
  <c r="J15" i="1" s="1"/>
  <c r="E15" i="1"/>
  <c r="D15" i="1"/>
  <c r="H13" i="1"/>
  <c r="I13" i="1" s="1"/>
  <c r="J13" i="1" s="1"/>
  <c r="E13" i="1"/>
  <c r="D13" i="1"/>
  <c r="H12" i="1"/>
  <c r="I12" i="1" s="1"/>
  <c r="J12" i="1" s="1"/>
  <c r="H10" i="1"/>
  <c r="I10" i="1" s="1"/>
  <c r="J10" i="1" s="1"/>
  <c r="H9" i="1"/>
  <c r="I9" i="1" s="1"/>
  <c r="J9" i="1" s="1"/>
  <c r="H8" i="1"/>
  <c r="I8" i="1" s="1"/>
  <c r="J8" i="1" s="1"/>
  <c r="J7" i="1"/>
  <c r="H6" i="1"/>
  <c r="I6" i="1" s="1"/>
  <c r="J6" i="1" s="1"/>
  <c r="H5" i="1"/>
  <c r="I5" i="1" s="1"/>
  <c r="J5" i="1" s="1"/>
  <c r="F5" i="1"/>
  <c r="F23" i="1" s="1"/>
  <c r="H2" i="1"/>
  <c r="I2" i="1" s="1"/>
  <c r="J2" i="1" s="1"/>
  <c r="F2" i="1"/>
  <c r="F15" i="1" s="1"/>
  <c r="M34" i="1" l="1"/>
  <c r="M35" i="1"/>
  <c r="M36" i="1"/>
  <c r="F42" i="1"/>
  <c r="F18" i="1"/>
  <c r="F48" i="1"/>
  <c r="F25" i="1"/>
  <c r="F30" i="1"/>
  <c r="F13" i="1"/>
  <c r="F27" i="1"/>
  <c r="F58" i="1"/>
  <c r="F24" i="1"/>
  <c r="F21" i="1"/>
  <c r="F29" i="1"/>
  <c r="F41" i="1"/>
  <c r="F59" i="1"/>
  <c r="F26" i="1"/>
  <c r="F4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50833A-8568-444B-A66B-7EEEA537BAD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AC6BBC3F-01A0-449B-B567-26824110F31A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3" xr16:uid="{D03C57BF-B48D-4F6F-A91E-7C936311C9D1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<sst xmlns="http://schemas.openxmlformats.org/spreadsheetml/2006/main" count="223" uniqueCount="111">
  <si>
    <t>days</t>
  </si>
  <si>
    <t>teams</t>
  </si>
  <si>
    <t>fee</t>
  </si>
  <si>
    <t>labor</t>
  </si>
  <si>
    <t>material</t>
  </si>
  <si>
    <t>combined</t>
  </si>
  <si>
    <t>month</t>
  </si>
  <si>
    <t>players</t>
  </si>
  <si>
    <t>spending</t>
  </si>
  <si>
    <t>nonlocal</t>
  </si>
  <si>
    <t>Note: Cells 2-36 are 2022 data, 37-65 2023, 66-99 2021</t>
  </si>
  <si>
    <t>materials</t>
  </si>
  <si>
    <t>playes</t>
  </si>
  <si>
    <t xml:space="preserve">softball spending </t>
  </si>
  <si>
    <t xml:space="preserve">teams </t>
  </si>
  <si>
    <t xml:space="preserve">material </t>
  </si>
  <si>
    <t xml:space="preserve">combined </t>
  </si>
  <si>
    <t xml:space="preserve">spending </t>
  </si>
  <si>
    <t xml:space="preserve">nonlocal </t>
  </si>
  <si>
    <t>year</t>
  </si>
  <si>
    <t xml:space="preserve">TOTAL </t>
  </si>
  <si>
    <t>MULTI.</t>
  </si>
  <si>
    <t>Day</t>
  </si>
  <si>
    <t>Night</t>
  </si>
  <si>
    <t>total fees</t>
  </si>
  <si>
    <t>Year</t>
  </si>
  <si>
    <t>Row Labels</t>
  </si>
  <si>
    <t>Grand Total</t>
  </si>
  <si>
    <t>Column Labels</t>
  </si>
  <si>
    <t>Total Fees</t>
  </si>
  <si>
    <t>Count of combined</t>
  </si>
  <si>
    <t>Fees</t>
  </si>
  <si>
    <t>Average of spending</t>
  </si>
  <si>
    <t xml:space="preserve">Month </t>
  </si>
  <si>
    <t xml:space="preserve">Spending per team </t>
  </si>
  <si>
    <t xml:space="preserve">Sum of Spending per team </t>
  </si>
  <si>
    <t xml:space="preserve">Sum of Total </t>
  </si>
  <si>
    <t xml:space="preserve">Sum of spending </t>
  </si>
  <si>
    <t>1 day events</t>
  </si>
  <si>
    <t>Sum of 1 day events</t>
  </si>
  <si>
    <t xml:space="preserve">Year </t>
  </si>
  <si>
    <t>2 Day Events</t>
  </si>
  <si>
    <t>Sum of 2 Day Events</t>
  </si>
  <si>
    <t>3 Day Events</t>
  </si>
  <si>
    <t>Sum of 3 Day Events</t>
  </si>
  <si>
    <t>Artifical Turf</t>
  </si>
  <si>
    <t>Natural Turf</t>
  </si>
  <si>
    <t>Cost per Year</t>
  </si>
  <si>
    <t>Hours of Use per Year</t>
  </si>
  <si>
    <t>Upkeep Cost per Hour</t>
  </si>
  <si>
    <t>48,000*</t>
  </si>
  <si>
    <t>18,000*</t>
  </si>
  <si>
    <t>$18,000*</t>
  </si>
  <si>
    <t>$12.50*</t>
  </si>
  <si>
    <t>1 Softball Field</t>
  </si>
  <si>
    <t xml:space="preserve">5 Softball Fields </t>
  </si>
  <si>
    <t>Avg Month</t>
  </si>
  <si>
    <t xml:space="preserve">Avg Year Direct </t>
  </si>
  <si>
    <t xml:space="preserve">9 Softball Fields* </t>
  </si>
  <si>
    <t>10 Year Projected</t>
  </si>
  <si>
    <t>Avg Year: Changs</t>
  </si>
  <si>
    <t>Avg Year: RIMS II</t>
  </si>
  <si>
    <t>2.5% Tax on 10 Year Projected</t>
  </si>
  <si>
    <t>Table: Softball Estimates</t>
  </si>
  <si>
    <t xml:space="preserve">Table: Maintenance </t>
  </si>
  <si>
    <t>Cost</t>
  </si>
  <si>
    <t>Direct</t>
  </si>
  <si>
    <t xml:space="preserve">Multiplier Upper Bound </t>
  </si>
  <si>
    <t>Multiplier Lower Bound</t>
  </si>
  <si>
    <t>Direct Tax</t>
  </si>
  <si>
    <t xml:space="preserve">Tax Lower Bound </t>
  </si>
  <si>
    <t>Tax Upper Bound</t>
  </si>
  <si>
    <t>Lower Bound</t>
  </si>
  <si>
    <t xml:space="preserve">Upper Bound </t>
  </si>
  <si>
    <t>Sum of Direct Tax</t>
  </si>
  <si>
    <t>Sum of Lower Bound</t>
  </si>
  <si>
    <t xml:space="preserve">Sum of Upper Bound </t>
  </si>
  <si>
    <t>baseball total</t>
  </si>
  <si>
    <t>baseball avg</t>
  </si>
  <si>
    <t>baseball per field</t>
  </si>
  <si>
    <t>baseball w 9 fields</t>
  </si>
  <si>
    <t>baseball pro tax</t>
  </si>
  <si>
    <t>baseball 10 years</t>
  </si>
  <si>
    <t>tax total 10 years</t>
  </si>
  <si>
    <t>Fees average</t>
  </si>
  <si>
    <t>Fees 2022</t>
  </si>
  <si>
    <t>Fees 2023</t>
  </si>
  <si>
    <t>Fees 2021</t>
  </si>
  <si>
    <t xml:space="preserve">Fees total </t>
  </si>
  <si>
    <t>Fees avg</t>
  </si>
  <si>
    <t>Fee per field</t>
  </si>
  <si>
    <t>Fees for 9</t>
  </si>
  <si>
    <t>Fees for 10 years</t>
  </si>
  <si>
    <t>Fees for soccer</t>
  </si>
  <si>
    <t>Fees 10 year</t>
  </si>
  <si>
    <t>tax 10 years</t>
  </si>
  <si>
    <t>total</t>
  </si>
  <si>
    <t xml:space="preserve">natural field cost </t>
  </si>
  <si>
    <t>Artificial turf cost</t>
  </si>
  <si>
    <t xml:space="preserve">total field cost </t>
  </si>
  <si>
    <t>field cost over 10 years</t>
  </si>
  <si>
    <t>field replcacement</t>
  </si>
  <si>
    <t>profit per 10 years</t>
  </si>
  <si>
    <t>Fees over 10 years</t>
  </si>
  <si>
    <t>Taxes over 10 years</t>
  </si>
  <si>
    <t>Total revenue</t>
  </si>
  <si>
    <t>Profit</t>
  </si>
  <si>
    <t>Field Cost</t>
  </si>
  <si>
    <t>Field Replacement</t>
  </si>
  <si>
    <t>Profit Over 10 years</t>
  </si>
  <si>
    <t xml:space="preserve">Table: Fiscal Projections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</si>
</sst>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6"/>
      <color rgb="FF000000"/>
      <name val="Calibri"/>
      <family val="2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  <charset val="1"/>
    </font>
    <font>
      <sz val="8"/>
      <name val="Calibri"/>
      <family val="2"/>
      <charset val="1"/>
    </font>
    <font>
      <sz val="18"/>
      <color rgb="FF000000"/>
      <name val="Calibri"/>
      <family val="2"/>
      <charset val="1"/>
    </font>
    <font>
      <sz val="20"/>
      <color rgb="FF000000"/>
      <name val="Calibri"/>
      <family val="2"/>
      <charset val="1"/>
    </font>
    <font>
      <sz val="24"/>
      <color rgb="FF000000"/>
      <name val="Calibri"/>
      <family val="2"/>
      <charset val="1"/>
    </font>
    <font>
      <sz val="22"/>
      <color rgb="FF000000"/>
      <name val="Calibri"/>
      <family val="2"/>
      <charset val="1"/>
    </font>
    <font>
      <sz val="26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0" fillId="2" borderId="2" xfId="0" applyFill="1" applyBorder="1"/>
    <xf numFmtId="6" fontId="8" fillId="3" borderId="0" xfId="0" applyNumberFormat="1" applyFont="1" applyFill="1" applyBorder="1"/>
    <xf numFmtId="6" fontId="8" fillId="5" borderId="0" xfId="0" applyNumberFormat="1" applyFont="1" applyFill="1" applyBorder="1"/>
    <xf numFmtId="6" fontId="8" fillId="3" borderId="4" xfId="0" applyNumberFormat="1" applyFont="1" applyFill="1" applyBorder="1"/>
    <xf numFmtId="8" fontId="8" fillId="3" borderId="0" xfId="0" applyNumberFormat="1" applyFont="1" applyFill="1" applyBorder="1"/>
    <xf numFmtId="8" fontId="8" fillId="5" borderId="0" xfId="0" applyNumberFormat="1" applyFont="1" applyFill="1" applyBorder="1"/>
    <xf numFmtId="8" fontId="8" fillId="3" borderId="4" xfId="0" applyNumberFormat="1" applyFont="1" applyFill="1" applyBorder="1"/>
    <xf numFmtId="8" fontId="8" fillId="3" borderId="3" xfId="0" applyNumberFormat="1" applyFont="1" applyFill="1" applyBorder="1"/>
    <xf numFmtId="8" fontId="8" fillId="5" borderId="3" xfId="0" applyNumberFormat="1" applyFont="1" applyFill="1" applyBorder="1"/>
    <xf numFmtId="8" fontId="8" fillId="3" borderId="5" xfId="0" applyNumberFormat="1" applyFont="1" applyFill="1" applyBorder="1"/>
    <xf numFmtId="0" fontId="9" fillId="2" borderId="1" xfId="0" applyFont="1" applyFill="1" applyBorder="1"/>
    <xf numFmtId="0" fontId="10" fillId="3" borderId="1" xfId="0" applyFont="1" applyFill="1" applyBorder="1"/>
    <xf numFmtId="0" fontId="10" fillId="5" borderId="1" xfId="0" applyFont="1" applyFill="1" applyBorder="1"/>
    <xf numFmtId="0" fontId="9" fillId="2" borderId="1" xfId="0" applyFont="1" applyFill="1" applyBorder="1" applyAlignment="1">
      <alignment horizontal="right"/>
    </xf>
    <xf numFmtId="0" fontId="11" fillId="3" borderId="0" xfId="0" applyFont="1" applyFill="1"/>
    <xf numFmtId="0" fontId="0" fillId="2" borderId="6" xfId="0" applyFill="1" applyBorder="1"/>
    <xf numFmtId="0" fontId="3" fillId="2" borderId="6" xfId="0" applyFont="1" applyFill="1" applyBorder="1"/>
    <xf numFmtId="0" fontId="4" fillId="3" borderId="6" xfId="0" applyFont="1" applyFill="1" applyBorder="1"/>
    <xf numFmtId="0" fontId="2" fillId="3" borderId="6" xfId="0" applyFont="1" applyFill="1" applyBorder="1" applyAlignment="1">
      <alignment horizontal="right"/>
    </xf>
    <xf numFmtId="8" fontId="2" fillId="3" borderId="6" xfId="0" applyNumberFormat="1" applyFont="1" applyFill="1" applyBorder="1" applyAlignment="1">
      <alignment horizontal="right"/>
    </xf>
    <xf numFmtId="3" fontId="2" fillId="3" borderId="6" xfId="0" applyNumberFormat="1" applyFont="1" applyFill="1" applyBorder="1" applyAlignment="1">
      <alignment horizontal="right"/>
    </xf>
    <xf numFmtId="0" fontId="4" fillId="4" borderId="6" xfId="0" applyFont="1" applyFill="1" applyBorder="1"/>
    <xf numFmtId="6" fontId="5" fillId="4" borderId="6" xfId="0" applyNumberFormat="1" applyFont="1" applyFill="1" applyBorder="1"/>
    <xf numFmtId="8" fontId="5" fillId="4" borderId="6" xfId="0" applyNumberFormat="1" applyFont="1" applyFill="1" applyBorder="1"/>
    <xf numFmtId="3" fontId="5" fillId="4" borderId="6" xfId="0" applyNumberFormat="1" applyFont="1" applyFill="1" applyBorder="1" applyAlignment="1">
      <alignment horizontal="right"/>
    </xf>
    <xf numFmtId="0" fontId="8" fillId="3" borderId="0" xfId="0" applyFont="1" applyFill="1"/>
    <xf numFmtId="0" fontId="0" fillId="0" borderId="0" xfId="0" applyNumberFormat="1"/>
    <xf numFmtId="0" fontId="8" fillId="6" borderId="0" xfId="0" applyFont="1" applyFill="1" applyBorder="1"/>
    <xf numFmtId="0" fontId="0" fillId="6" borderId="0" xfId="0" applyFill="1" applyBorder="1"/>
    <xf numFmtId="44" fontId="5" fillId="4" borderId="0" xfId="1" applyFont="1" applyFill="1" applyBorder="1"/>
    <xf numFmtId="0" fontId="0" fillId="4" borderId="0" xfId="0" applyFill="1" applyBorder="1"/>
    <xf numFmtId="0" fontId="7" fillId="6" borderId="0" xfId="0" applyFont="1" applyFill="1" applyBorder="1"/>
    <xf numFmtId="0" fontId="0" fillId="4" borderId="4" xfId="0" applyFill="1" applyBorder="1"/>
    <xf numFmtId="0" fontId="7" fillId="4" borderId="4" xfId="0" applyFont="1" applyFill="1" applyBorder="1"/>
    <xf numFmtId="0" fontId="8" fillId="6" borderId="7" xfId="0" applyFont="1" applyFill="1" applyBorder="1"/>
    <xf numFmtId="44" fontId="5" fillId="4" borderId="7" xfId="1" applyFont="1" applyFill="1" applyBorder="1"/>
    <xf numFmtId="0" fontId="0" fillId="6" borderId="7" xfId="0" applyFill="1" applyBorder="1"/>
    <xf numFmtId="0" fontId="0" fillId="4" borderId="8" xfId="0" applyFill="1" applyBorder="1"/>
    <xf numFmtId="0" fontId="8" fillId="6" borderId="9" xfId="0" applyFont="1" applyFill="1" applyBorder="1"/>
    <xf numFmtId="0" fontId="0" fillId="6" borderId="3" xfId="0" applyFill="1" applyBorder="1"/>
    <xf numFmtId="44" fontId="5" fillId="4" borderId="9" xfId="1" applyFont="1" applyFill="1" applyBorder="1"/>
    <xf numFmtId="0" fontId="0" fillId="4" borderId="3" xfId="0" applyFill="1" applyBorder="1"/>
    <xf numFmtId="0" fontId="0" fillId="6" borderId="9" xfId="0" applyFill="1" applyBorder="1"/>
    <xf numFmtId="0" fontId="0" fillId="4" borderId="10" xfId="0" applyFill="1" applyBorder="1"/>
    <xf numFmtId="0" fontId="0" fillId="4" borderId="5" xfId="0" applyFill="1" applyBorder="1"/>
    <xf numFmtId="0" fontId="0" fillId="6" borderId="11" xfId="0" applyFill="1" applyBorder="1"/>
    <xf numFmtId="0" fontId="0" fillId="6" borderId="4" xfId="0" applyFill="1" applyBorder="1"/>
    <xf numFmtId="44" fontId="5" fillId="6" borderId="4" xfId="1" applyFont="1" applyFill="1" applyBorder="1"/>
    <xf numFmtId="0" fontId="7" fillId="6" borderId="4" xfId="0" applyFont="1" applyFill="1" applyBorder="1"/>
    <xf numFmtId="0" fontId="0" fillId="6" borderId="5" xfId="0" applyFill="1" applyBorder="1"/>
    <xf numFmtId="0" fontId="0" fillId="3" borderId="12" xfId="0" applyFill="1" applyBorder="1"/>
    <xf numFmtId="0" fontId="11" fillId="3" borderId="13" xfId="0" applyFont="1" applyFill="1" applyBorder="1"/>
    <xf numFmtId="0" fontId="0" fillId="3" borderId="13" xfId="0" applyFill="1" applyBorder="1"/>
    <xf numFmtId="0" fontId="0" fillId="3" borderId="14" xfId="0" applyFill="1" applyBorder="1"/>
    <xf numFmtId="6" fontId="5" fillId="6" borderId="0" xfId="1" applyNumberFormat="1" applyFont="1" applyFill="1" applyBorder="1"/>
    <xf numFmtId="6" fontId="5" fillId="4" borderId="4" xfId="1" applyNumberFormat="1" applyFont="1" applyFill="1" applyBorder="1"/>
  </cellXfs>
  <cellStyles count="2">
    <cellStyle name="Currency" xfId="1" builtinId="4"/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CC99"/>
      <color rgb="FFFF3300"/>
      <color rgb="FF66FF66"/>
      <color rgb="FFCC66FF"/>
      <color rgb="FF33CC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JC Parks and Rec data software friendly.xlsx]Sheet6!PivotTable4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 b="1"/>
              <a:t>Fees</a:t>
            </a:r>
            <a:r>
              <a:rPr lang="en-US" sz="3200" b="1" baseline="0"/>
              <a:t> by Month</a:t>
            </a:r>
            <a:endParaRPr lang="en-US" sz="3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3CCFF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33CCFF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Sheet6!$A$5:$A$14</c:f>
              <c:strCache>
                <c:ptCount val="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</c:strCache>
            </c:strRef>
          </c:cat>
          <c:val>
            <c:numRef>
              <c:f>Sheet6!$B$5:$B$14</c:f>
              <c:numCache>
                <c:formatCode>General</c:formatCode>
                <c:ptCount val="9"/>
                <c:pt idx="0">
                  <c:v>34800</c:v>
                </c:pt>
                <c:pt idx="1">
                  <c:v>53581.25</c:v>
                </c:pt>
                <c:pt idx="2">
                  <c:v>65320</c:v>
                </c:pt>
                <c:pt idx="3">
                  <c:v>48450</c:v>
                </c:pt>
                <c:pt idx="4">
                  <c:v>77700</c:v>
                </c:pt>
                <c:pt idx="5">
                  <c:v>53370</c:v>
                </c:pt>
                <c:pt idx="6">
                  <c:v>50520</c:v>
                </c:pt>
                <c:pt idx="7">
                  <c:v>29400</c:v>
                </c:pt>
                <c:pt idx="8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7-49B3-B0B7-23ADB23F34DD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Sheet6!$A$5:$A$14</c:f>
              <c:strCache>
                <c:ptCount val="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</c:strCache>
            </c:strRef>
          </c:cat>
          <c:val>
            <c:numRef>
              <c:f>Sheet6!$C$5:$C$14</c:f>
              <c:numCache>
                <c:formatCode>General</c:formatCode>
                <c:ptCount val="9"/>
                <c:pt idx="0">
                  <c:v>35780</c:v>
                </c:pt>
                <c:pt idx="1">
                  <c:v>97320</c:v>
                </c:pt>
                <c:pt idx="2">
                  <c:v>26700</c:v>
                </c:pt>
                <c:pt idx="3">
                  <c:v>77340</c:v>
                </c:pt>
                <c:pt idx="4">
                  <c:v>92920</c:v>
                </c:pt>
                <c:pt idx="5">
                  <c:v>60760</c:v>
                </c:pt>
                <c:pt idx="6">
                  <c:v>40570</c:v>
                </c:pt>
                <c:pt idx="7">
                  <c:v>39600</c:v>
                </c:pt>
                <c:pt idx="8">
                  <c:v>20400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07-49B3-B0B7-23ADB23F34DD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Sheet6!$A$5:$A$14</c:f>
              <c:strCache>
                <c:ptCount val="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</c:strCache>
            </c:strRef>
          </c:cat>
          <c:val>
            <c:numRef>
              <c:f>Sheet6!$D$5:$D$14</c:f>
              <c:numCache>
                <c:formatCode>General</c:formatCode>
                <c:ptCount val="9"/>
                <c:pt idx="0">
                  <c:v>43326</c:v>
                </c:pt>
                <c:pt idx="1">
                  <c:v>92188</c:v>
                </c:pt>
                <c:pt idx="2">
                  <c:v>49950</c:v>
                </c:pt>
                <c:pt idx="3">
                  <c:v>46260</c:v>
                </c:pt>
                <c:pt idx="4">
                  <c:v>60440</c:v>
                </c:pt>
                <c:pt idx="5">
                  <c:v>67130</c:v>
                </c:pt>
                <c:pt idx="6">
                  <c:v>46560</c:v>
                </c:pt>
                <c:pt idx="7">
                  <c:v>57030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07-49B3-B0B7-23ADB23F3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62197231"/>
        <c:axId val="257469375"/>
      </c:barChart>
      <c:catAx>
        <c:axId val="2062197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MONTH</a:t>
                </a:r>
              </a:p>
            </c:rich>
          </c:tx>
          <c:layout>
            <c:manualLayout>
              <c:xMode val="edge"/>
              <c:yMode val="edge"/>
              <c:x val="0.48409108320919336"/>
              <c:y val="0.921637530400243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469375"/>
        <c:crosses val="autoZero"/>
        <c:auto val="1"/>
        <c:lblAlgn val="ctr"/>
        <c:lblOffset val="100"/>
        <c:noMultiLvlLbl val="0"/>
      </c:catAx>
      <c:valAx>
        <c:axId val="25746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DOlLAR</a:t>
                </a:r>
                <a:r>
                  <a:rPr lang="en-US" sz="1800" b="1" baseline="0"/>
                  <a:t> AMOUNT </a:t>
                </a:r>
                <a:endParaRPr lang="en-US" sz="18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19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JC Parks and Rec data software friendly.xlsx]Sheet6!PivotTable4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Fees</a:t>
            </a:r>
            <a:r>
              <a:rPr lang="en-US" sz="2800" b="1" baseline="0"/>
              <a:t> Charged by Park</a:t>
            </a:r>
            <a:endParaRPr lang="en-US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Sheet6!$A$5:$A$14</c:f>
              <c:strCache>
                <c:ptCount val="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</c:strCache>
            </c:strRef>
          </c:cat>
          <c:val>
            <c:numRef>
              <c:f>Sheet6!$B$5:$B$14</c:f>
              <c:numCache>
                <c:formatCode>General</c:formatCode>
                <c:ptCount val="9"/>
                <c:pt idx="0">
                  <c:v>34800</c:v>
                </c:pt>
                <c:pt idx="1">
                  <c:v>53581.25</c:v>
                </c:pt>
                <c:pt idx="2">
                  <c:v>65320</c:v>
                </c:pt>
                <c:pt idx="3">
                  <c:v>48450</c:v>
                </c:pt>
                <c:pt idx="4">
                  <c:v>77700</c:v>
                </c:pt>
                <c:pt idx="5">
                  <c:v>53370</c:v>
                </c:pt>
                <c:pt idx="6">
                  <c:v>50520</c:v>
                </c:pt>
                <c:pt idx="7">
                  <c:v>29400</c:v>
                </c:pt>
                <c:pt idx="8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A6-4F7D-884B-38AB28276DF6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Sheet6!$A$5:$A$14</c:f>
              <c:strCache>
                <c:ptCount val="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</c:strCache>
            </c:strRef>
          </c:cat>
          <c:val>
            <c:numRef>
              <c:f>Sheet6!$C$5:$C$14</c:f>
              <c:numCache>
                <c:formatCode>General</c:formatCode>
                <c:ptCount val="9"/>
                <c:pt idx="0">
                  <c:v>35780</c:v>
                </c:pt>
                <c:pt idx="1">
                  <c:v>97320</c:v>
                </c:pt>
                <c:pt idx="2">
                  <c:v>26700</c:v>
                </c:pt>
                <c:pt idx="3">
                  <c:v>77340</c:v>
                </c:pt>
                <c:pt idx="4">
                  <c:v>92920</c:v>
                </c:pt>
                <c:pt idx="5">
                  <c:v>60760</c:v>
                </c:pt>
                <c:pt idx="6">
                  <c:v>40570</c:v>
                </c:pt>
                <c:pt idx="7">
                  <c:v>39600</c:v>
                </c:pt>
                <c:pt idx="8">
                  <c:v>20400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A6-4F7D-884B-38AB28276DF6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Sheet6!$A$5:$A$14</c:f>
              <c:strCache>
                <c:ptCount val="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</c:strCache>
            </c:strRef>
          </c:cat>
          <c:val>
            <c:numRef>
              <c:f>Sheet6!$D$5:$D$14</c:f>
              <c:numCache>
                <c:formatCode>General</c:formatCode>
                <c:ptCount val="9"/>
                <c:pt idx="0">
                  <c:v>43326</c:v>
                </c:pt>
                <c:pt idx="1">
                  <c:v>92188</c:v>
                </c:pt>
                <c:pt idx="2">
                  <c:v>49950</c:v>
                </c:pt>
                <c:pt idx="3">
                  <c:v>46260</c:v>
                </c:pt>
                <c:pt idx="4">
                  <c:v>60440</c:v>
                </c:pt>
                <c:pt idx="5">
                  <c:v>67130</c:v>
                </c:pt>
                <c:pt idx="6">
                  <c:v>46560</c:v>
                </c:pt>
                <c:pt idx="7">
                  <c:v>57030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A6-4F7D-884B-38AB28276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6147504"/>
        <c:axId val="108446848"/>
      </c:lineChart>
      <c:catAx>
        <c:axId val="216147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6848"/>
        <c:crosses val="autoZero"/>
        <c:auto val="1"/>
        <c:lblAlgn val="ctr"/>
        <c:lblOffset val="100"/>
        <c:noMultiLvlLbl val="0"/>
      </c:catAx>
      <c:valAx>
        <c:axId val="10844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Fees in Dollars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14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aseline="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JC Parks and Rec data software friendly.xlsx]Sheet7!PivotTable5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589496102069122E-2"/>
          <c:y val="8.4213274406418556E-2"/>
          <c:w val="0.88233787929114316"/>
          <c:h val="0.825323095714279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Sheet7!$B$3:$B$4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Sheet7!$A$5:$A$15</c:f>
              <c:strCach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month</c:v>
                </c:pt>
              </c:strCache>
            </c:strRef>
          </c:cat>
          <c:val>
            <c:numRef>
              <c:f>Sheet7!$B$5:$B$15</c:f>
              <c:numCache>
                <c:formatCode>General</c:formatCode>
                <c:ptCount val="10"/>
                <c:pt idx="0">
                  <c:v>135187.5</c:v>
                </c:pt>
                <c:pt idx="1">
                  <c:v>95172</c:v>
                </c:pt>
                <c:pt idx="2">
                  <c:v>119397.6</c:v>
                </c:pt>
                <c:pt idx="3">
                  <c:v>161504</c:v>
                </c:pt>
                <c:pt idx="4">
                  <c:v>546806.4</c:v>
                </c:pt>
                <c:pt idx="5">
                  <c:v>124372.5</c:v>
                </c:pt>
                <c:pt idx="6">
                  <c:v>170877</c:v>
                </c:pt>
                <c:pt idx="7">
                  <c:v>108150</c:v>
                </c:pt>
                <c:pt idx="8">
                  <c:v>140595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81-4508-AE91-355E2F8566C2}"/>
            </c:ext>
          </c:extLst>
        </c:ser>
        <c:ser>
          <c:idx val="1"/>
          <c:order val="1"/>
          <c:tx>
            <c:strRef>
              <c:f>Sheet7!$C$3:$C$4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Sheet7!$A$5:$A$15</c:f>
              <c:strCach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month</c:v>
                </c:pt>
              </c:strCache>
            </c:strRef>
          </c:cat>
          <c:val>
            <c:numRef>
              <c:f>Sheet7!$C$5:$C$15</c:f>
              <c:numCache>
                <c:formatCode>General</c:formatCode>
                <c:ptCount val="10"/>
                <c:pt idx="0">
                  <c:v>84357</c:v>
                </c:pt>
                <c:pt idx="1">
                  <c:v>182557.2</c:v>
                </c:pt>
                <c:pt idx="2">
                  <c:v>77868</c:v>
                </c:pt>
                <c:pt idx="3">
                  <c:v>217381.5</c:v>
                </c:pt>
                <c:pt idx="4">
                  <c:v>326613</c:v>
                </c:pt>
                <c:pt idx="5">
                  <c:v>106419.6</c:v>
                </c:pt>
                <c:pt idx="6">
                  <c:v>92057</c:v>
                </c:pt>
                <c:pt idx="7">
                  <c:v>71379</c:v>
                </c:pt>
                <c:pt idx="8">
                  <c:v>73542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81-4508-AE91-355E2F8566C2}"/>
            </c:ext>
          </c:extLst>
        </c:ser>
        <c:ser>
          <c:idx val="2"/>
          <c:order val="2"/>
          <c:tx>
            <c:strRef>
              <c:f>Sheet7!$D$3:$D$4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Sheet7!$A$5:$A$15</c:f>
              <c:strCach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month</c:v>
                </c:pt>
              </c:strCache>
            </c:strRef>
          </c:cat>
          <c:val>
            <c:numRef>
              <c:f>Sheet7!$D$5:$D$15</c:f>
              <c:numCache>
                <c:formatCode>General</c:formatCode>
                <c:ptCount val="10"/>
                <c:pt idx="0">
                  <c:v>84357</c:v>
                </c:pt>
                <c:pt idx="1">
                  <c:v>203322</c:v>
                </c:pt>
                <c:pt idx="2">
                  <c:v>122209.5</c:v>
                </c:pt>
                <c:pt idx="3">
                  <c:v>147084</c:v>
                </c:pt>
                <c:pt idx="4">
                  <c:v>175924</c:v>
                </c:pt>
                <c:pt idx="5">
                  <c:v>118965</c:v>
                </c:pt>
                <c:pt idx="6">
                  <c:v>158620</c:v>
                </c:pt>
                <c:pt idx="7">
                  <c:v>124372.5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81-4508-AE91-355E2F8566C2}"/>
            </c:ext>
          </c:extLst>
        </c:ser>
        <c:ser>
          <c:idx val="3"/>
          <c:order val="3"/>
          <c:tx>
            <c:strRef>
              <c:f>Sheet7!$E$3:$E$4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Sheet7!$A$5:$A$15</c:f>
              <c:strCach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month</c:v>
                </c:pt>
              </c:strCache>
            </c:strRef>
          </c:cat>
          <c:val>
            <c:numRef>
              <c:f>Sheet7!$E$5:$E$15</c:f>
              <c:numCache>
                <c:formatCode>General</c:formatCode>
                <c:ptCount val="10"/>
                <c:pt idx="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81-4508-AE91-355E2F856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2827807"/>
        <c:axId val="389782911"/>
      </c:barChart>
      <c:catAx>
        <c:axId val="38282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782911"/>
        <c:crosses val="autoZero"/>
        <c:auto val="1"/>
        <c:lblAlgn val="ctr"/>
        <c:lblOffset val="100"/>
        <c:noMultiLvlLbl val="0"/>
      </c:catAx>
      <c:valAx>
        <c:axId val="38978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82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JC Parks and Rec data software friendly.xlsx]Sheet8!PivotTable8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 b="1"/>
              <a:t>Average</a:t>
            </a:r>
            <a:r>
              <a:rPr lang="en-US" sz="3200" b="1" baseline="0"/>
              <a:t> Spending per Team Over Time</a:t>
            </a:r>
            <a:endParaRPr lang="en-US" sz="3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Sheet8!$B$3:$B$4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Sheet8!$A$5:$A$14</c:f>
              <c:strCache>
                <c:ptCount val="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</c:strCache>
            </c:strRef>
          </c:cat>
          <c:val>
            <c:numRef>
              <c:f>Sheet8!$B$5:$B$14</c:f>
              <c:numCache>
                <c:formatCode>General</c:formatCode>
                <c:ptCount val="9"/>
                <c:pt idx="0">
                  <c:v>6675.9259259259261</c:v>
                </c:pt>
                <c:pt idx="1">
                  <c:v>4326</c:v>
                </c:pt>
                <c:pt idx="2">
                  <c:v>6218.625</c:v>
                </c:pt>
                <c:pt idx="3">
                  <c:v>7454.0307692307688</c:v>
                </c:pt>
                <c:pt idx="4">
                  <c:v>15022.153846153846</c:v>
                </c:pt>
                <c:pt idx="5">
                  <c:v>5292.4468085106382</c:v>
                </c:pt>
                <c:pt idx="6">
                  <c:v>7429.434782608696</c:v>
                </c:pt>
                <c:pt idx="7">
                  <c:v>4326</c:v>
                </c:pt>
                <c:pt idx="8">
                  <c:v>8034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3-44C2-AD05-3C65D5D85C08}"/>
            </c:ext>
          </c:extLst>
        </c:ser>
        <c:ser>
          <c:idx val="1"/>
          <c:order val="1"/>
          <c:tx>
            <c:strRef>
              <c:f>Sheet8!$C$3:$C$4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Sheet8!$A$5:$A$14</c:f>
              <c:strCache>
                <c:ptCount val="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</c:strCache>
            </c:strRef>
          </c:cat>
          <c:val>
            <c:numRef>
              <c:f>Sheet8!$C$5:$C$14</c:f>
              <c:numCache>
                <c:formatCode>General</c:formatCode>
                <c:ptCount val="9"/>
                <c:pt idx="0">
                  <c:v>11635.448275862069</c:v>
                </c:pt>
                <c:pt idx="1">
                  <c:v>7801.5897435897432</c:v>
                </c:pt>
                <c:pt idx="2">
                  <c:v>6229.44</c:v>
                </c:pt>
                <c:pt idx="3">
                  <c:v>8442</c:v>
                </c:pt>
                <c:pt idx="4">
                  <c:v>13752.126315789474</c:v>
                </c:pt>
                <c:pt idx="5">
                  <c:v>5601.0315789473689</c:v>
                </c:pt>
                <c:pt idx="6">
                  <c:v>4315.171875</c:v>
                </c:pt>
                <c:pt idx="7">
                  <c:v>4326</c:v>
                </c:pt>
                <c:pt idx="8">
                  <c:v>4326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D3-44C2-AD05-3C65D5D85C08}"/>
            </c:ext>
          </c:extLst>
        </c:ser>
        <c:ser>
          <c:idx val="2"/>
          <c:order val="2"/>
          <c:tx>
            <c:strRef>
              <c:f>Sheet8!$D$3:$D$4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Sheet8!$A$5:$A$14</c:f>
              <c:strCache>
                <c:ptCount val="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</c:strCache>
            </c:strRef>
          </c:cat>
          <c:val>
            <c:numRef>
              <c:f>Sheet8!$D$5:$D$14</c:f>
              <c:numCache>
                <c:formatCode>General</c:formatCode>
                <c:ptCount val="9"/>
                <c:pt idx="0">
                  <c:v>6616.2352941176468</c:v>
                </c:pt>
                <c:pt idx="1">
                  <c:v>7745.6</c:v>
                </c:pt>
                <c:pt idx="2">
                  <c:v>5313.45652173913</c:v>
                </c:pt>
                <c:pt idx="3">
                  <c:v>7004</c:v>
                </c:pt>
                <c:pt idx="4">
                  <c:v>8652</c:v>
                </c:pt>
                <c:pt idx="5">
                  <c:v>5469.6551724137935</c:v>
                </c:pt>
                <c:pt idx="6">
                  <c:v>7435.3125</c:v>
                </c:pt>
                <c:pt idx="7">
                  <c:v>5292.4468085106382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D3-44C2-AD05-3C65D5D85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760287"/>
        <c:axId val="278463327"/>
      </c:barChart>
      <c:catAx>
        <c:axId val="26760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MONTH</a:t>
                </a:r>
              </a:p>
            </c:rich>
          </c:tx>
          <c:layout>
            <c:manualLayout>
              <c:xMode val="edge"/>
              <c:yMode val="edge"/>
              <c:x val="0.4749853487648763"/>
              <c:y val="0.921703885374983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463327"/>
        <c:crosses val="autoZero"/>
        <c:auto val="1"/>
        <c:lblAlgn val="ctr"/>
        <c:lblOffset val="100"/>
        <c:noMultiLvlLbl val="0"/>
      </c:catAx>
      <c:valAx>
        <c:axId val="27846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DOLLAR</a:t>
                </a:r>
                <a:r>
                  <a:rPr lang="en-US" sz="1800" b="1" baseline="0"/>
                  <a:t> AMOUNT</a:t>
                </a:r>
                <a:endParaRPr lang="en-US" sz="18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6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trellis">
      <a:fgClr>
        <a:schemeClr val="accent6">
          <a:lumMod val="20000"/>
          <a:lumOff val="80000"/>
        </a:schemeClr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JC Parks and Rec data software friendly.xlsx]Sheet8!PivotTable9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58092738407698"/>
          <c:y val="0.27152340332458441"/>
          <c:w val="0.74845603674540684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Sheet8!$B$40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Sheet8!$A$41:$A$44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Sheet8!$B$41:$B$44</c:f>
              <c:numCache>
                <c:formatCode>General</c:formatCode>
                <c:ptCount val="3"/>
                <c:pt idx="0">
                  <c:v>64778.61713242987</c:v>
                </c:pt>
                <c:pt idx="1">
                  <c:v>66428</c:v>
                </c:pt>
                <c:pt idx="2">
                  <c:v>53528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5-4619-BA7A-FA1C00730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3276943"/>
        <c:axId val="1522965871"/>
      </c:barChart>
      <c:catAx>
        <c:axId val="24327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5871"/>
        <c:crosses val="autoZero"/>
        <c:auto val="1"/>
        <c:lblAlgn val="ctr"/>
        <c:lblOffset val="100"/>
        <c:noMultiLvlLbl val="0"/>
      </c:catAx>
      <c:valAx>
        <c:axId val="152296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27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JC Parks and Rec data software friendly.xlsx]Sheet8!PivotTable8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Spending per Team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Sheet8!$B$3:$B$4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Sheet8!$A$5:$A$14</c:f>
              <c:strCache>
                <c:ptCount val="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</c:strCache>
            </c:strRef>
          </c:cat>
          <c:val>
            <c:numRef>
              <c:f>Sheet8!$B$5:$B$14</c:f>
              <c:numCache>
                <c:formatCode>General</c:formatCode>
                <c:ptCount val="9"/>
                <c:pt idx="0">
                  <c:v>6675.9259259259261</c:v>
                </c:pt>
                <c:pt idx="1">
                  <c:v>4326</c:v>
                </c:pt>
                <c:pt idx="2">
                  <c:v>6218.625</c:v>
                </c:pt>
                <c:pt idx="3">
                  <c:v>7454.0307692307688</c:v>
                </c:pt>
                <c:pt idx="4">
                  <c:v>15022.153846153846</c:v>
                </c:pt>
                <c:pt idx="5">
                  <c:v>5292.4468085106382</c:v>
                </c:pt>
                <c:pt idx="6">
                  <c:v>7429.434782608696</c:v>
                </c:pt>
                <c:pt idx="7">
                  <c:v>4326</c:v>
                </c:pt>
                <c:pt idx="8">
                  <c:v>8034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F8-456C-8148-4587E493EC71}"/>
            </c:ext>
          </c:extLst>
        </c:ser>
        <c:ser>
          <c:idx val="1"/>
          <c:order val="1"/>
          <c:tx>
            <c:strRef>
              <c:f>Sheet8!$C$3:$C$4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Sheet8!$A$5:$A$14</c:f>
              <c:strCache>
                <c:ptCount val="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</c:strCache>
            </c:strRef>
          </c:cat>
          <c:val>
            <c:numRef>
              <c:f>Sheet8!$C$5:$C$14</c:f>
              <c:numCache>
                <c:formatCode>General</c:formatCode>
                <c:ptCount val="9"/>
                <c:pt idx="0">
                  <c:v>11635.448275862069</c:v>
                </c:pt>
                <c:pt idx="1">
                  <c:v>7801.5897435897432</c:v>
                </c:pt>
                <c:pt idx="2">
                  <c:v>6229.44</c:v>
                </c:pt>
                <c:pt idx="3">
                  <c:v>8442</c:v>
                </c:pt>
                <c:pt idx="4">
                  <c:v>13752.126315789474</c:v>
                </c:pt>
                <c:pt idx="5">
                  <c:v>5601.0315789473689</c:v>
                </c:pt>
                <c:pt idx="6">
                  <c:v>4315.171875</c:v>
                </c:pt>
                <c:pt idx="7">
                  <c:v>4326</c:v>
                </c:pt>
                <c:pt idx="8">
                  <c:v>4326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F8-456C-8148-4587E493EC71}"/>
            </c:ext>
          </c:extLst>
        </c:ser>
        <c:ser>
          <c:idx val="2"/>
          <c:order val="2"/>
          <c:tx>
            <c:strRef>
              <c:f>Sheet8!$D$3:$D$4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Sheet8!$A$5:$A$14</c:f>
              <c:strCache>
                <c:ptCount val="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</c:strCache>
            </c:strRef>
          </c:cat>
          <c:val>
            <c:numRef>
              <c:f>Sheet8!$D$5:$D$14</c:f>
              <c:numCache>
                <c:formatCode>General</c:formatCode>
                <c:ptCount val="9"/>
                <c:pt idx="0">
                  <c:v>6616.2352941176468</c:v>
                </c:pt>
                <c:pt idx="1">
                  <c:v>7745.6</c:v>
                </c:pt>
                <c:pt idx="2">
                  <c:v>5313.45652173913</c:v>
                </c:pt>
                <c:pt idx="3">
                  <c:v>7004</c:v>
                </c:pt>
                <c:pt idx="4">
                  <c:v>8652</c:v>
                </c:pt>
                <c:pt idx="5">
                  <c:v>5469.6551724137935</c:v>
                </c:pt>
                <c:pt idx="6">
                  <c:v>7435.3125</c:v>
                </c:pt>
                <c:pt idx="7">
                  <c:v>5292.4468085106382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F8-456C-8148-4587E493E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759040"/>
        <c:axId val="846923472"/>
      </c:lineChart>
      <c:catAx>
        <c:axId val="95759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923472"/>
        <c:crosses val="autoZero"/>
        <c:auto val="1"/>
        <c:lblAlgn val="ctr"/>
        <c:lblOffset val="100"/>
        <c:noMultiLvlLbl val="0"/>
      </c:catAx>
      <c:valAx>
        <c:axId val="84692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Spending in Dollars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5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aseline="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JC Parks and Rec data software friendly.xlsx]Sheet9!PivotTable10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 b="1"/>
              <a:t>Average</a:t>
            </a:r>
            <a:r>
              <a:rPr lang="en-US" sz="3200" b="1" baseline="0"/>
              <a:t> Spending per Team by Year</a:t>
            </a:r>
            <a:endParaRPr lang="en-US" sz="3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A6DB949-C8B6-4921-940E-FE5C8D8FC66F}" type="VALUE">
                  <a:rPr lang="en-US" sz="1600" baseline="0"/>
                  <a:pPr>
                    <a:defRPr/>
                  </a:pPr>
                  <a:t>[VALUE]</a:t>
                </a:fld>
                <a:endParaRPr lang="en-US"/>
              </a:p>
            </c:rich>
          </c:tx>
          <c:numFmt formatCode="&quot;$&quot;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01BB0C2-0E30-4ECA-AE23-5D5AA57CCEF0}" type="VALUE">
                  <a:rPr lang="en-US" sz="1600" baseline="0"/>
                  <a:pPr>
                    <a:defRPr/>
                  </a:pPr>
                  <a:t>[VALUE]</a:t>
                </a:fld>
                <a:endParaRPr lang="en-US"/>
              </a:p>
            </c:rich>
          </c:tx>
          <c:numFmt formatCode="&quot;$&quot;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5385AE0-FF88-4D2E-A8B4-3BFB15E9FDCE}" type="VALUE">
                  <a:rPr lang="en-US" sz="1600" baseline="0"/>
                  <a:pPr>
                    <a:defRPr/>
                  </a:pPr>
                  <a:t>[VALUE]</a:t>
                </a:fld>
                <a:endParaRPr lang="en-US"/>
              </a:p>
            </c:rich>
          </c:tx>
          <c:numFmt formatCode="&quot;$&quot;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Sheet9!$B$3:$B$4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5385AE0-FF88-4D2E-A8B4-3BFB15E9FDCE}" type="VALUE">
                      <a:rPr lang="en-US" sz="1600" baseline="0"/>
                      <a:pPr>
                        <a:defRPr/>
                      </a:pPr>
                      <a:t>[VALUE]</a:t>
                    </a:fld>
                    <a:endParaRPr lang="en-US"/>
                  </a:p>
                </c:rich>
              </c:tx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358C-43ED-9DC3-78654F4106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Sheet9!$B$5</c:f>
              <c:numCache>
                <c:formatCode>General</c:formatCode>
                <c:ptCount val="1"/>
                <c:pt idx="0">
                  <c:v>8073.772277227723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4-41F8-B85F-370BDE05C432}"/>
            </c:ext>
          </c:extLst>
        </c:ser>
        <c:ser>
          <c:idx val="1"/>
          <c:order val="1"/>
          <c:tx>
            <c:strRef>
              <c:f>Sheet9!$C$3:$C$4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2B4-41F8-B85F-370BDE05C432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A6DB949-C8B6-4921-940E-FE5C8D8FC66F}" type="VALUE">
                      <a:rPr lang="en-US" sz="1600" baseline="0"/>
                      <a:pPr>
                        <a:defRPr/>
                      </a:pPr>
                      <a:t>[VALUE]</a:t>
                    </a:fld>
                    <a:endParaRPr lang="en-US"/>
                  </a:p>
                </c:rich>
              </c:tx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E2B4-41F8-B85F-370BDE05C4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Sheet9!$C$5</c:f>
              <c:numCache>
                <c:formatCode>General</c:formatCode>
                <c:ptCount val="1"/>
                <c:pt idx="0">
                  <c:v>7397.5230312035665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B4-41F8-B85F-370BDE05C432}"/>
            </c:ext>
          </c:extLst>
        </c:ser>
        <c:ser>
          <c:idx val="2"/>
          <c:order val="2"/>
          <c:tx>
            <c:strRef>
              <c:f>Sheet9!$D$3:$D$4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2B4-41F8-B85F-370BDE05C432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01BB0C2-0E30-4ECA-AE23-5D5AA57CCEF0}" type="VALUE">
                      <a:rPr lang="en-US" sz="1600" baseline="0"/>
                      <a:pPr>
                        <a:defRPr/>
                      </a:pPr>
                      <a:t>[VALUE]</a:t>
                    </a:fld>
                    <a:endParaRPr lang="en-US"/>
                  </a:p>
                </c:rich>
              </c:tx>
              <c:numFmt formatCode="&quot;$&quot;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E2B4-41F8-B85F-370BDE05C4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Sheet9!$D$5</c:f>
              <c:numCache>
                <c:formatCode>General</c:formatCode>
                <c:ptCount val="1"/>
                <c:pt idx="0">
                  <c:v>6576.6418152350079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B4-41F8-B85F-370BDE05C4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4299519"/>
        <c:axId val="442747535"/>
      </c:barChart>
      <c:catAx>
        <c:axId val="66429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747535"/>
        <c:crosses val="autoZero"/>
        <c:auto val="1"/>
        <c:lblAlgn val="ctr"/>
        <c:lblOffset val="100"/>
        <c:noMultiLvlLbl val="0"/>
      </c:catAx>
      <c:valAx>
        <c:axId val="44274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DOLLARS</a:t>
                </a:r>
              </a:p>
            </c:rich>
          </c:tx>
          <c:layout>
            <c:manualLayout>
              <c:xMode val="edge"/>
              <c:yMode val="edge"/>
              <c:x val="1.1711125569290826E-2"/>
              <c:y val="0.492846233765823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29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JC Parks and Rec data software friendly.xlsx]Sheet12!PivotTable16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 b="1"/>
              <a:t>2</a:t>
            </a:r>
            <a:r>
              <a:rPr lang="en-US" sz="3200" b="1" baseline="0"/>
              <a:t> Day Events by Year</a:t>
            </a:r>
            <a:endParaRPr lang="en-US" sz="3200" b="1"/>
          </a:p>
        </c:rich>
      </c:tx>
      <c:layout>
        <c:manualLayout>
          <c:xMode val="edge"/>
          <c:yMode val="edge"/>
          <c:x val="0.4647222222222222"/>
          <c:y val="0.10083114610673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A3D6-417E-8DC7-774090CADA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A3D6-417E-8DC7-774090CADA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3D6-417E-8DC7-774090CADA7B}"/>
              </c:ext>
            </c:extLst>
          </c:dPt>
          <c:dLbls>
            <c:dLbl>
              <c:idx val="0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3D6-417E-8DC7-774090CADA7B}"/>
                </c:ext>
              </c:extLst>
            </c:dLbl>
            <c:dLbl>
              <c:idx val="1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3D6-417E-8DC7-774090CADA7B}"/>
                </c:ext>
              </c:extLst>
            </c:dLbl>
            <c:dLbl>
              <c:idx val="2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D6-417E-8DC7-774090CADA7B}"/>
                </c:ext>
              </c:extLst>
            </c:dLbl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Sheet12!$A$4:$A$7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Sheet12!$B$4:$B$7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6-417E-8DC7-774090CAD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JC Parks and Rec data software friendly.xlsx]Sheet13!PivotTable17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 b="1"/>
              <a:t>3 Day</a:t>
            </a:r>
            <a:r>
              <a:rPr lang="en-US" sz="3200" b="1" baseline="0"/>
              <a:t> Events by Year </a:t>
            </a:r>
            <a:endParaRPr lang="en-US" sz="3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chemeClr val="bg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bg2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3816-47CA-8E16-B1ADA0B51384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816-47CA-8E16-B1ADA0B51384}"/>
              </c:ext>
            </c:extLst>
          </c:dPt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Sheet13!$A$4:$A$6</c:f>
              <c:strCache>
                <c:ptCount val="2"/>
                <c:pt idx="0">
                  <c:v>2021</c:v>
                </c:pt>
                <c:pt idx="1">
                  <c:v>2022</c:v>
                </c:pt>
              </c:strCache>
            </c:strRef>
          </c:cat>
          <c:val>
            <c:numRef>
              <c:f>Sheet13!$B$4:$B$6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16-47CA-8E16-B1ADA0B51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JC Parks and Rec data software friendly.xlsx]Sheet11!PivotTable12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Sheet11!$B$3:$B$4</c:f>
              <c:strCache>
                <c:ptCount val="1"/>
                <c:pt idx="0">
                  <c:v>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2F-45C0-8D6B-D33B238D49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2F-45C0-8D6B-D33B238D49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Sheet11!$A$5:$A$7</c:f>
              <c:strCache>
                <c:ptCount val="2"/>
                <c:pt idx="0">
                  <c:v>2021</c:v>
                </c:pt>
                <c:pt idx="1">
                  <c:v>2022</c:v>
                </c:pt>
              </c:strCache>
            </c:strRef>
          </c:cat>
          <c:val>
            <c:numRef>
              <c:f>Sheet11!$B$5:$B$7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5-4504-80F8-E52AF1C819F3}"/>
            </c:ext>
          </c:extLst>
        </c:ser>
        <c:ser>
          <c:idx val="1"/>
          <c:order val="1"/>
          <c:tx>
            <c:strRef>
              <c:f>Sheet11!$C$3:$C$4</c:f>
              <c:strCache>
                <c:ptCount val="1"/>
                <c:pt idx="0">
                  <c:v>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52F-45C0-8D6B-D33B238D49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52F-45C0-8D6B-D33B238D49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Sheet11!$A$5:$A$7</c:f>
              <c:strCache>
                <c:ptCount val="2"/>
                <c:pt idx="0">
                  <c:v>2021</c:v>
                </c:pt>
                <c:pt idx="1">
                  <c:v>2022</c:v>
                </c:pt>
              </c:strCache>
            </c:strRef>
          </c:cat>
          <c:val>
            <c:numRef>
              <c:f>Sheet11!$C$5:$C$7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365-4504-80F8-E52AF1C819F3}"/>
            </c:ext>
          </c:extLst>
        </c:ser>
        <c:ser>
          <c:idx val="2"/>
          <c:order val="2"/>
          <c:tx>
            <c:strRef>
              <c:f>Sheet11!$D$3:$D$4</c:f>
              <c:strCache>
                <c:ptCount val="1"/>
                <c:pt idx="0">
                  <c:v>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52F-45C0-8D6B-D33B238D49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52F-45C0-8D6B-D33B238D49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Sheet11!$A$5:$A$7</c:f>
              <c:strCache>
                <c:ptCount val="2"/>
                <c:pt idx="0">
                  <c:v>2021</c:v>
                </c:pt>
                <c:pt idx="1">
                  <c:v>2022</c:v>
                </c:pt>
              </c:strCache>
            </c:strRef>
          </c:cat>
          <c:val>
            <c:numRef>
              <c:f>Sheet11!$D$5:$D$7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365-4504-80F8-E52AF1C819F3}"/>
            </c:ext>
          </c:extLst>
        </c:ser>
        <c:ser>
          <c:idx val="3"/>
          <c:order val="3"/>
          <c:tx>
            <c:strRef>
              <c:f>Sheet11!$E$3:$E$4</c:f>
              <c:strCache>
                <c:ptCount val="1"/>
                <c:pt idx="0">
                  <c:v>11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52F-45C0-8D6B-D33B238D49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52F-45C0-8D6B-D33B238D49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Sheet11!$A$5:$A$7</c:f>
              <c:strCache>
                <c:ptCount val="2"/>
                <c:pt idx="0">
                  <c:v>2021</c:v>
                </c:pt>
                <c:pt idx="1">
                  <c:v>2022</c:v>
                </c:pt>
              </c:strCache>
            </c:strRef>
          </c:cat>
          <c:val>
            <c:numRef>
              <c:f>Sheet11!$E$5:$E$7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365-4504-80F8-E52AF1C819F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JC Parks and Rec data software friendly.xlsx]Sheet11!PivotTable13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 b="1"/>
              <a:t>1</a:t>
            </a:r>
            <a:r>
              <a:rPr lang="en-US" sz="3200" b="1" baseline="0"/>
              <a:t> Day Events by Year</a:t>
            </a:r>
            <a:endParaRPr lang="en-US" sz="3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Sheet11!$V$15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8D7-441B-AEFA-39053599A6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8D7-441B-AEFA-39053599A6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8D7-441B-AEFA-39053599A6D4}"/>
              </c:ext>
            </c:extLst>
          </c:dPt>
          <c:dLbls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Sheet11!$U$16:$U$19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Sheet11!$V$16:$V$19</c:f>
              <c:numCache>
                <c:formatCode>General</c:formatCode>
                <c:ptCount val="3"/>
                <c:pt idx="0">
                  <c:v>20</c:v>
                </c:pt>
                <c:pt idx="1">
                  <c:v>14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DD-4B45-AF57-46D8F45B530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JC Parks and Rec data software friendly.xlsx]Sheet2!PivotTable5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aseline="0"/>
              <a:t>Tax Revenues @ 2.5% on Direct Spending and Bounds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Direct Tax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Sheet2!$A$4:$A$7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163090</c:v>
                </c:pt>
                <c:pt idx="1">
                  <c:v>124463</c:v>
                </c:pt>
                <c:pt idx="2">
                  <c:v>101445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B1-4E61-AA41-473DB95C4F96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Lower Bound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Sheet2!$A$4:$A$7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Sheet2!$C$4:$C$7</c:f>
              <c:numCache>
                <c:formatCode>General</c:formatCode>
                <c:ptCount val="3"/>
                <c:pt idx="0">
                  <c:v>142701</c:v>
                </c:pt>
                <c:pt idx="1">
                  <c:v>108903</c:v>
                </c:pt>
                <c:pt idx="2">
                  <c:v>88762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B1-4E61-AA41-473DB95C4F96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Upper Bound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Sheet2!$A$4:$A$7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Sheet2!$D$4:$D$7</c:f>
              <c:numCache>
                <c:formatCode>General</c:formatCode>
                <c:ptCount val="3"/>
                <c:pt idx="0">
                  <c:v>166484</c:v>
                </c:pt>
                <c:pt idx="1">
                  <c:v>127053</c:v>
                </c:pt>
                <c:pt idx="2">
                  <c:v>103556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B1-4E61-AA41-473DB95C4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1553712"/>
        <c:axId val="247511216"/>
      </c:lineChart>
      <c:catAx>
        <c:axId val="1911553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aseline="0"/>
                  <a:t>Year</a:t>
                </a:r>
              </a:p>
            </c:rich>
          </c:tx>
          <c:layout>
            <c:manualLayout>
              <c:xMode val="edge"/>
              <c:yMode val="edge"/>
              <c:x val="0.44716557606857155"/>
              <c:y val="0.911609948914269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511216"/>
        <c:crosses val="autoZero"/>
        <c:auto val="1"/>
        <c:lblAlgn val="ctr"/>
        <c:lblOffset val="100"/>
        <c:noMultiLvlLbl val="0"/>
      </c:catAx>
      <c:valAx>
        <c:axId val="24751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Tax Flow</a:t>
                </a:r>
                <a:r>
                  <a:rPr lang="en-US" sz="1800" baseline="0"/>
                  <a:t> in Dollars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55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Multiplier Adjusted Direct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Combined!$H$108</c:f>
              <c:strCache>
                <c:ptCount val="1"/>
                <c:pt idx="0">
                  <c:v>Direct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Combined!$I$107:$K$107</c:f>
              <c:numCache>
                <c:formatCode>General</c:formatCod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numCache>
            </c:numRef>
          </c:xVal>
          <c:yVal>
            <c:numRef>
              <c:f>Combined!$I$108:$K$108</c:f>
              <c:numCache>
                <c:formatCode>General</c:formatCode>
                <c:ptCount val="3"/>
                <c:pt idx="0">
                  <c:v>6523608</c:v>
                </c:pt>
                <c:pt idx="1">
                  <c:v>4978533</c:v>
                </c:pt>
                <c:pt idx="2">
                  <c:v>4057788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7B-412F-A6D6-738587929BFB}"/>
            </c:ext>
          </c:extLst>
        </c:ser>
        <c:ser>
          <c:idx val="1"/>
          <c:order val="1"/>
          <c:tx>
            <c:strRef>
              <c:f>Combined!$H$109</c:f>
              <c:strCache>
                <c:ptCount val="1"/>
                <c:pt idx="0">
                  <c:v>Multiplier Lower Bound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Combined!$I$107:$K$107</c:f>
              <c:numCache>
                <c:formatCode>General</c:formatCod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numCache>
            </c:numRef>
          </c:xVal>
          <c:yVal>
            <c:numRef>
              <c:f>Combined!$I$109:$K$109</c:f>
              <c:numCache>
                <c:formatCode>General</c:formatCode>
                <c:ptCount val="3"/>
                <c:pt idx="0">
                  <c:v>5708026.5278399996</c:v>
                </c:pt>
                <c:pt idx="1">
                  <c:v>4356116.8043399993</c:v>
                </c:pt>
                <c:pt idx="2">
                  <c:v>3550483.3442399995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7B-412F-A6D6-738587929BFB}"/>
            </c:ext>
          </c:extLst>
        </c:ser>
        <c:ser>
          <c:idx val="2"/>
          <c:order val="2"/>
          <c:tx>
            <c:strRef>
              <c:f>Combined!$H$110</c:f>
              <c:strCache>
                <c:ptCount val="1"/>
                <c:pt idx="0">
                  <c:v>Multiplier Upper Bound 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Combined!$I$107:$K$107</c:f>
              <c:numCache>
                <c:formatCode>General</c:formatCod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numCache>
            </c:numRef>
          </c:xVal>
          <c:yVal>
            <c:numRef>
              <c:f>Combined!$I$110:$K$110</c:f>
              <c:numCache>
                <c:formatCode>General</c:formatCode>
                <c:ptCount val="3"/>
                <c:pt idx="0">
                  <c:v>6659364.2824799996</c:v>
                </c:pt>
                <c:pt idx="1">
                  <c:v>5082136.2717299992</c:v>
                </c:pt>
                <c:pt idx="2">
                  <c:v>4142230.5682799993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7B-412F-A6D6-738587929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16336"/>
        <c:axId val="2072436256"/>
      </c:scatterChart>
      <c:valAx>
        <c:axId val="4631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436256"/>
        <c:crosses val="autoZero"/>
        <c:crossBetween val="midCat"/>
      </c:valAx>
      <c:valAx>
        <c:axId val="207243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Dollar</a:t>
                </a:r>
                <a:r>
                  <a:rPr lang="en-US" sz="1800" b="1" baseline="0"/>
                  <a:t> Amount (Hundred Thousands)</a:t>
                </a:r>
                <a:endParaRPr lang="en-US" sz="18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16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15</xdr:row>
      <xdr:rowOff>44450</xdr:rowOff>
    </xdr:from>
    <xdr:to>
      <xdr:col>33</xdr:col>
      <xdr:colOff>76200</xdr:colOff>
      <xdr:row>57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9E61AC-E527-2B14-22B9-9CD14E318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628650</xdr:colOff>
      <xdr:row>6</xdr:row>
      <xdr:rowOff>95250</xdr:rowOff>
    </xdr:from>
    <xdr:to>
      <xdr:col>37</xdr:col>
      <xdr:colOff>546100</xdr:colOff>
      <xdr:row>34</xdr:row>
      <xdr:rowOff>31749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C4651F-F006-F3E2-489C-15663FCFF3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774700</xdr:colOff>
      <xdr:row>22</xdr:row>
      <xdr:rowOff>85724</xdr:rowOff>
    </xdr:from>
    <xdr:to>
      <xdr:col>17</xdr:col>
      <xdr:colOff>679450</xdr:colOff>
      <xdr:row>51</xdr:row>
      <xdr:rowOff>107949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B8D7D4-81F8-E783-662B-DB3B30A99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107950</xdr:colOff>
      <xdr:row>14</xdr:row>
      <xdr:rowOff>120650</xdr:rowOff>
    </xdr:from>
    <xdr:to>
      <xdr:col>26</xdr:col>
      <xdr:colOff>349250</xdr:colOff>
      <xdr:row>54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FF07E9-D86E-AF2A-1E2C-38B89F88A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266700</xdr:colOff>
      <xdr:row>59</xdr:row>
      <xdr:rowOff>104775</xdr:rowOff>
    </xdr:from>
    <xdr:to>
      <xdr:col>6</xdr:col>
      <xdr:colOff>63500</xdr:colOff>
      <xdr:row>74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8050DE-DE77-6A08-630F-37BE2B6AA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660400</xdr:colOff>
      <xdr:row>9</xdr:row>
      <xdr:rowOff>114300</xdr:rowOff>
    </xdr:from>
    <xdr:to>
      <xdr:col>28</xdr:col>
      <xdr:colOff>381000</xdr:colOff>
      <xdr:row>49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524413-0269-C360-3C03-A081ED40D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120650</xdr:colOff>
      <xdr:row>18</xdr:row>
      <xdr:rowOff>69850</xdr:rowOff>
    </xdr:from>
    <xdr:to>
      <xdr:col>24</xdr:col>
      <xdr:colOff>488950</xdr:colOff>
      <xdr:row>59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F16DA1-3630-3222-C83C-881C94C8F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13</xdr:row>
      <xdr:rowOff>53974</xdr:rowOff>
    </xdr:from>
    <xdr:to>
      <xdr:col>28</xdr:col>
      <xdr:colOff>31750</xdr:colOff>
      <xdr:row>39</xdr:row>
      <xdr:rowOff>69849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9B7A71-231A-BA68-E7E3-30AE5958EE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241300</xdr:colOff>
      <xdr:row>20</xdr:row>
      <xdr:rowOff>53974</xdr:rowOff>
    </xdr:from>
    <xdr:to>
      <xdr:col>19</xdr:col>
      <xdr:colOff>50800</xdr:colOff>
      <xdr:row>45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1D9162-65A8-F7D3-1833-5FC60B9554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82550</xdr:colOff>
      <xdr:row>23</xdr:row>
      <xdr:rowOff>142874</xdr:rowOff>
    </xdr:from>
    <xdr:to>
      <xdr:col>16</xdr:col>
      <xdr:colOff>457200</xdr:colOff>
      <xdr:row>52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4A5113-7096-25C3-93C9-4F8892E1D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241300</xdr:colOff>
      <xdr:row>14</xdr:row>
      <xdr:rowOff>9524</xdr:rowOff>
    </xdr:from>
    <xdr:to>
      <xdr:col>35</xdr:col>
      <xdr:colOff>273050</xdr:colOff>
      <xdr:row>44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8BCD4B-44A4-3774-D2DB-FA1DCF548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222250</xdr:colOff>
      <xdr:row>7</xdr:row>
      <xdr:rowOff>6350</xdr:rowOff>
    </xdr:from>
    <xdr:to>
      <xdr:col>13</xdr:col>
      <xdr:colOff>590550</xdr:colOff>
      <xdr:row>52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DDCC64-0939-9F31-EE63-E13699F488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111</xdr:row>
      <xdr:rowOff>101600</xdr:rowOff>
    </xdr:from>
    <xdr:to>
      <xdr:col>12</xdr:col>
      <xdr:colOff>2508250</xdr:colOff>
      <xdr:row>157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BCA7BB-9E61-53A9-4221-728D9E14C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t Roller" refreshedDate="45241.110190740743" createdVersion="8" refreshedVersion="8" minRefreshableVersion="3" recordCount="100" xr:uid="{38460848-FCBA-4C92-8F64-B81142E7F085}">
  <cacheSource type="worksheet">
    <worksheetSource ref="A1:L101" sheet="Combined"/>
  </cacheSource>
  <cacheFields count="12">
    <cacheField name="days" numFmtId="0">
      <sharedItems containsMixedTypes="1" containsNumber="1" containsInteger="1" minValue="0" maxValue="5" count="7">
        <n v="2"/>
        <n v="0"/>
        <n v="1"/>
        <n v="3"/>
        <n v="4"/>
        <s v="days"/>
        <n v="5"/>
      </sharedItems>
    </cacheField>
    <cacheField name="teams" numFmtId="0">
      <sharedItems containsMixedTypes="1" containsNumber="1" containsInteger="1" minValue="0" maxValue="70" count="28">
        <n v="29"/>
        <n v="0"/>
        <n v="20"/>
        <n v="26"/>
        <n v="23"/>
        <n v="36"/>
        <n v="32"/>
        <n v="28"/>
        <n v="22"/>
        <n v="24"/>
        <n v="43"/>
        <n v="19"/>
        <n v="16"/>
        <n v="12"/>
        <n v="33"/>
        <n v="31"/>
        <n v="18"/>
        <s v="teams"/>
        <n v="9"/>
        <n v="34"/>
        <n v="21"/>
        <n v="17"/>
        <n v="25"/>
        <n v="15"/>
        <n v="14"/>
        <n v="27"/>
        <n v="42"/>
        <n v="70"/>
      </sharedItems>
    </cacheField>
    <cacheField name="fee" numFmtId="0">
      <sharedItems containsMixedTypes="1" containsNumber="1" minValue="0" maxValue="1273"/>
    </cacheField>
    <cacheField name="labor" numFmtId="0">
      <sharedItems containsMixedTypes="1" containsNumber="1" containsInteger="1" minValue="0" maxValue="10000"/>
    </cacheField>
    <cacheField name="material" numFmtId="0">
      <sharedItems containsMixedTypes="1" containsNumber="1" containsInteger="1" minValue="0" maxValue="1100"/>
    </cacheField>
    <cacheField name="combined" numFmtId="0">
      <sharedItems containsMixedTypes="1" containsNumber="1" containsInteger="1" minValue="0" maxValue="11100" count="8">
        <n v="3475"/>
        <n v="0"/>
        <n v="1545"/>
        <n v="6057"/>
        <n v="7700"/>
        <s v="combined "/>
        <s v="combined"/>
        <n v="11100"/>
      </sharedItems>
    </cacheField>
    <cacheField name="month" numFmtId="0">
      <sharedItems containsMixedTypes="1" containsNumber="1" containsInteger="1" minValue="3" maxValue="11" count="10">
        <n v="3"/>
        <n v="4"/>
        <n v="5"/>
        <n v="6"/>
        <n v="7"/>
        <n v="8"/>
        <n v="9"/>
        <n v="10"/>
        <n v="11"/>
        <s v="month"/>
      </sharedItems>
    </cacheField>
    <cacheField name="players" numFmtId="0">
      <sharedItems containsMixedTypes="1" containsNumber="1" containsInteger="1" minValue="0" maxValue="1470"/>
    </cacheField>
    <cacheField name="spending" numFmtId="0">
      <sharedItems containsMixedTypes="1" containsNumber="1" containsInteger="1" minValue="0" maxValue="1514100" count="40">
        <n v="250908"/>
        <n v="0"/>
        <n v="86520"/>
        <n v="224952"/>
        <n v="99498"/>
        <n v="311472"/>
        <n v="276864"/>
        <n v="121128"/>
        <n v="190344"/>
        <n v="242256"/>
        <n v="125454"/>
        <n v="337428"/>
        <n v="744072"/>
        <n v="82194"/>
        <n v="138432"/>
        <n v="103824"/>
        <n v="142065"/>
        <n v="134106"/>
        <n v="77868"/>
        <n v="69216"/>
        <s v="spending "/>
        <n v="198996"/>
        <n v="95172"/>
        <n v="294168"/>
        <n v="181692"/>
        <n v="112476"/>
        <n v="155736"/>
        <n v="73542"/>
        <n v="216300"/>
        <n v="90846"/>
        <n v="285516"/>
        <n v="64890"/>
        <n v="108150"/>
        <n v="173040"/>
        <n v="60564"/>
        <n v="233604"/>
        <n v="207648"/>
        <n v="726768"/>
        <n v="1514100"/>
        <n v="194670"/>
      </sharedItems>
    </cacheField>
    <cacheField name="nonlocal" numFmtId="0">
      <sharedItems containsMixedTypes="1" containsNumber="1" minValue="0" maxValue="1347549"/>
    </cacheField>
    <cacheField name="Total Fees" numFmtId="0">
      <sharedItems containsMixedTypes="1" containsNumber="1" minValue="0" maxValue="44100"/>
    </cacheField>
    <cacheField name="Year" numFmtId="0">
      <sharedItems containsMixedTypes="1" containsNumber="1" containsInteger="1" minValue="2021" maxValue="2023" count="4">
        <n v="2022"/>
        <s v="Year"/>
        <n v="2023"/>
        <n v="20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t Roller" refreshedDate="45241.193220833331" createdVersion="8" refreshedVersion="8" minRefreshableVersion="3" recordCount="26" xr:uid="{814AD9D2-CAD0-4FBA-94AE-493BD4F10747}">
  <cacheSource type="worksheet">
    <worksheetSource ref="M26:O52" sheet="Combined"/>
  </cacheSource>
  <cacheFields count="3">
    <cacheField name="Spending per team " numFmtId="0">
      <sharedItems containsSemiMixedTypes="0" containsString="0" containsNumber="1" minValue="4315.171875" maxValue="15022.153846153846"/>
    </cacheField>
    <cacheField name="Month " numFmtId="0">
      <sharedItems containsSemiMixedTypes="0" containsString="0" containsNumber="1" containsInteger="1" minValue="3" maxValue="11" count="9">
        <n v="3"/>
        <n v="4"/>
        <n v="5"/>
        <n v="6"/>
        <n v="7"/>
        <n v="8"/>
        <n v="9"/>
        <n v="10"/>
        <n v="11"/>
      </sharedItems>
    </cacheField>
    <cacheField name="Year" numFmtId="0">
      <sharedItems containsSemiMixedTypes="0" containsString="0" containsNumber="1" containsInteger="1" minValue="2021" maxValue="2023" count="3">
        <n v="2022"/>
        <n v="2023"/>
        <n v="20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t Roller" refreshedDate="45241.20070671296" createdVersion="8" refreshedVersion="8" minRefreshableVersion="3" recordCount="3" xr:uid="{C1580CB2-7701-4C31-95EE-CAF1DB358E19}">
  <cacheSource type="worksheet">
    <worksheetSource ref="B17:C20" sheet="Sheet8"/>
  </cacheSource>
  <cacheFields count="2">
    <cacheField name="Total " numFmtId="0">
      <sharedItems containsSemiMixedTypes="0" containsString="0" containsNumber="1" minValue="53528" maxValue="66428"/>
    </cacheField>
    <cacheField name="Year" numFmtId="0">
      <sharedItems containsSemiMixedTypes="0" containsString="0" containsNumber="1" containsInteger="1" minValue="2021" maxValue="2023" count="3">
        <n v="2021"/>
        <n v="2022"/>
        <n v="20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t Roller" refreshedDate="45241.206545023146" createdVersion="8" refreshedVersion="8" minRefreshableVersion="3" recordCount="3" xr:uid="{35BDC6F3-9B1E-4FF3-A32A-629FB952EF62}">
  <cacheSource type="worksheet">
    <worksheetSource ref="M55:N58" sheet="Combined"/>
  </cacheSource>
  <cacheFields count="2">
    <cacheField name="spending " numFmtId="0">
      <sharedItems containsSemiMixedTypes="0" containsString="0" containsNumber="1" minValue="6576.6418152350079" maxValue="8073.772277227723" count="3">
        <n v="7397.5230312035665"/>
        <n v="6576.6418152350079"/>
        <n v="8073.772277227723"/>
      </sharedItems>
    </cacheField>
    <cacheField name="year" numFmtId="0">
      <sharedItems containsSemiMixedTypes="0" containsString="0" containsNumber="1" containsInteger="1" minValue="2021" maxValue="2023" count="3">
        <n v="2022"/>
        <n v="2023"/>
        <n v="20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t Roller" refreshedDate="45241.232170601848" createdVersion="8" refreshedVersion="8" minRefreshableVersion="3" recordCount="3" xr:uid="{DD8E1B09-8689-4520-B9BC-1D65DFC3193B}">
  <cacheSource type="worksheet">
    <worksheetSource ref="V10:W13" sheet="Sheet11"/>
  </cacheSource>
  <cacheFields count="2">
    <cacheField name="1 day events" numFmtId="0">
      <sharedItems containsSemiMixedTypes="0" containsString="0" containsNumber="1" containsInteger="1" minValue="13" maxValue="20"/>
    </cacheField>
    <cacheField name="Year" numFmtId="0">
      <sharedItems containsSemiMixedTypes="0" containsString="0" containsNumber="1" containsInteger="1" minValue="2021" maxValue="2023" count="3">
        <n v="2021"/>
        <n v="2022"/>
        <n v="20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t Roller" refreshedDate="45241.234882291668" createdVersion="8" refreshedVersion="8" minRefreshableVersion="3" recordCount="3" xr:uid="{9F1692D6-8E58-416F-8003-F0EBDEF4C76B}">
  <cacheSource type="worksheet">
    <worksheetSource ref="O15:P18" sheet="Sheet11"/>
  </cacheSource>
  <cacheFields count="2">
    <cacheField name="Year " numFmtId="0">
      <sharedItems containsSemiMixedTypes="0" containsString="0" containsNumber="1" containsInteger="1" minValue="2021" maxValue="2023" count="3">
        <n v="2021"/>
        <n v="2022"/>
        <n v="2023"/>
      </sharedItems>
    </cacheField>
    <cacheField name="2 Day Events" numFmtId="0">
      <sharedItems containsSemiMixedTypes="0" containsString="0" containsNumber="1" containsInteger="1" minValue="10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t Roller" refreshedDate="45241.239009606485" createdVersion="8" refreshedVersion="8" minRefreshableVersion="3" recordCount="2" xr:uid="{AD9EE03B-1AAC-4470-A4B3-813A40139001}">
  <cacheSource type="worksheet">
    <worksheetSource ref="K15:L17" sheet="Sheet11"/>
  </cacheSource>
  <cacheFields count="2">
    <cacheField name="Year " numFmtId="0">
      <sharedItems containsSemiMixedTypes="0" containsString="0" containsNumber="1" containsInteger="1" minValue="2021" maxValue="2022" count="2">
        <n v="2021"/>
        <n v="2022"/>
      </sharedItems>
    </cacheField>
    <cacheField name="3 Day Events" numFmtId="0">
      <sharedItems containsSemiMixedTypes="0" containsString="0" containsNumber="1" containsInteger="1" minValue="2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t Roller" refreshedDate="45268.656128819443" createdVersion="8" refreshedVersion="8" minRefreshableVersion="3" recordCount="3" xr:uid="{6561FDFE-C0F1-42BF-BFE5-DAF77A707435}">
  <cacheSource type="worksheet">
    <worksheetSource ref="N115:Q118" sheet="Combined"/>
  </cacheSource>
  <cacheFields count="4">
    <cacheField name="Year" numFmtId="0">
      <sharedItems containsSemiMixedTypes="0" containsString="0" containsNumber="1" containsInteger="1" minValue="2021" maxValue="2023" count="3">
        <n v="2021"/>
        <n v="2022"/>
        <n v="2023"/>
      </sharedItems>
    </cacheField>
    <cacheField name="Direct Tax" numFmtId="0">
      <sharedItems containsSemiMixedTypes="0" containsString="0" containsNumber="1" containsInteger="1" minValue="101445" maxValue="163090" count="3">
        <n v="163090"/>
        <n v="124463"/>
        <n v="101445"/>
      </sharedItems>
    </cacheField>
    <cacheField name="Lower Bound" numFmtId="0">
      <sharedItems containsSemiMixedTypes="0" containsString="0" containsNumber="1" containsInteger="1" minValue="88762" maxValue="142701" count="3">
        <n v="142701"/>
        <n v="108903"/>
        <n v="88762"/>
      </sharedItems>
    </cacheField>
    <cacheField name="Upper Bound " numFmtId="0">
      <sharedItems containsSemiMixedTypes="0" containsString="0" containsNumber="1" containsInteger="1" minValue="103556" maxValue="1664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n v="820"/>
    <n v="3106"/>
    <n v="369"/>
    <x v="0"/>
    <x v="0"/>
    <n v="609"/>
    <x v="0"/>
    <n v="223308.12"/>
    <n v="23780"/>
    <x v="0"/>
  </r>
  <r>
    <x v="1"/>
    <x v="1"/>
    <n v="0"/>
    <n v="0"/>
    <n v="0"/>
    <x v="1"/>
    <x v="0"/>
    <n v="0"/>
    <x v="1"/>
    <n v="0"/>
    <n v="0"/>
    <x v="0"/>
  </r>
  <r>
    <x v="1"/>
    <x v="1"/>
    <n v="0"/>
    <n v="0"/>
    <n v="0"/>
    <x v="1"/>
    <x v="0"/>
    <n v="0"/>
    <x v="1"/>
    <n v="0"/>
    <n v="0"/>
    <x v="0"/>
  </r>
  <r>
    <x v="2"/>
    <x v="2"/>
    <n v="600"/>
    <n v="1326"/>
    <n v="219"/>
    <x v="2"/>
    <x v="0"/>
    <n v="420"/>
    <x v="2"/>
    <n v="77002.8"/>
    <n v="12000"/>
    <x v="0"/>
  </r>
  <r>
    <x v="0"/>
    <x v="3"/>
    <n v="900"/>
    <n v="3106"/>
    <n v="369"/>
    <x v="0"/>
    <x v="1"/>
    <n v="546"/>
    <x v="3"/>
    <n v="200207.28"/>
    <n v="23400"/>
    <x v="0"/>
  </r>
  <r>
    <x v="1"/>
    <x v="1"/>
    <n v="0"/>
    <n v="0"/>
    <n v="0"/>
    <x v="1"/>
    <x v="1"/>
    <n v="0"/>
    <x v="1"/>
    <n v="0"/>
    <n v="0"/>
    <x v="0"/>
  </r>
  <r>
    <x v="2"/>
    <x v="4"/>
    <n v="600"/>
    <n v="1326"/>
    <n v="219"/>
    <x v="2"/>
    <x v="1"/>
    <n v="483"/>
    <x v="4"/>
    <n v="88553.22"/>
    <n v="13800"/>
    <x v="0"/>
  </r>
  <r>
    <x v="0"/>
    <x v="5"/>
    <n v="870"/>
    <n v="3106"/>
    <n v="369"/>
    <x v="0"/>
    <x v="1"/>
    <n v="756"/>
    <x v="5"/>
    <n v="277210.08"/>
    <n v="31320"/>
    <x v="0"/>
  </r>
  <r>
    <x v="0"/>
    <x v="6"/>
    <n v="900"/>
    <n v="3106"/>
    <n v="369"/>
    <x v="0"/>
    <x v="1"/>
    <n v="672"/>
    <x v="6"/>
    <n v="246408.95999999999"/>
    <n v="28800"/>
    <x v="0"/>
  </r>
  <r>
    <x v="1"/>
    <x v="1"/>
    <n v="0"/>
    <n v="0"/>
    <n v="0"/>
    <x v="1"/>
    <x v="2"/>
    <n v="0"/>
    <x v="1"/>
    <n v="0"/>
    <n v="0"/>
    <x v="0"/>
  </r>
  <r>
    <x v="2"/>
    <x v="7"/>
    <n v="600"/>
    <n v="1326"/>
    <n v="219"/>
    <x v="2"/>
    <x v="2"/>
    <n v="588"/>
    <x v="7"/>
    <n v="107803.92"/>
    <n v="16800"/>
    <x v="0"/>
  </r>
  <r>
    <x v="0"/>
    <x v="8"/>
    <n v="450"/>
    <n v="3106"/>
    <n v="369"/>
    <x v="0"/>
    <x v="2"/>
    <n v="462"/>
    <x v="8"/>
    <n v="169406.16"/>
    <n v="9900"/>
    <x v="0"/>
  </r>
  <r>
    <x v="1"/>
    <x v="1"/>
    <n v="0"/>
    <n v="0"/>
    <n v="0"/>
    <x v="1"/>
    <x v="2"/>
    <n v="0"/>
    <x v="1"/>
    <n v="0"/>
    <n v="0"/>
    <x v="0"/>
  </r>
  <r>
    <x v="0"/>
    <x v="7"/>
    <n v="600"/>
    <n v="3106"/>
    <n v="369"/>
    <x v="0"/>
    <x v="3"/>
    <n v="588"/>
    <x v="9"/>
    <n v="215607.84"/>
    <n v="16800"/>
    <x v="0"/>
  </r>
  <r>
    <x v="0"/>
    <x v="8"/>
    <n v="870"/>
    <n v="3106"/>
    <n v="369"/>
    <x v="0"/>
    <x v="3"/>
    <n v="462"/>
    <x v="8"/>
    <n v="169406.16"/>
    <n v="19140"/>
    <x v="0"/>
  </r>
  <r>
    <x v="3"/>
    <x v="9"/>
    <n v="1000"/>
    <n v="5482"/>
    <n v="575"/>
    <x v="3"/>
    <x v="3"/>
    <n v="504"/>
    <x v="5"/>
    <n v="277210.08"/>
    <n v="24000"/>
    <x v="0"/>
  </r>
  <r>
    <x v="2"/>
    <x v="0"/>
    <n v="600"/>
    <n v="1326"/>
    <n v="219"/>
    <x v="2"/>
    <x v="3"/>
    <n v="609"/>
    <x v="10"/>
    <n v="111654.06"/>
    <n v="17400"/>
    <x v="0"/>
  </r>
  <r>
    <x v="1"/>
    <x v="1"/>
    <n v="0"/>
    <n v="0"/>
    <n v="0"/>
    <x v="1"/>
    <x v="4"/>
    <n v="0"/>
    <x v="1"/>
    <n v="0"/>
    <n v="0"/>
    <x v="0"/>
  </r>
  <r>
    <x v="3"/>
    <x v="3"/>
    <n v="870"/>
    <n v="5482"/>
    <n v="575"/>
    <x v="3"/>
    <x v="4"/>
    <n v="546"/>
    <x v="11"/>
    <n v="300310.92"/>
    <n v="22620"/>
    <x v="0"/>
  </r>
  <r>
    <x v="0"/>
    <x v="3"/>
    <n v="1050"/>
    <n v="3106"/>
    <n v="369"/>
    <x v="0"/>
    <x v="4"/>
    <n v="546"/>
    <x v="3"/>
    <n v="200207.28"/>
    <n v="27300"/>
    <x v="0"/>
  </r>
  <r>
    <x v="4"/>
    <x v="10"/>
    <n v="1000"/>
    <n v="7000"/>
    <n v="700"/>
    <x v="4"/>
    <x v="4"/>
    <n v="903"/>
    <x v="12"/>
    <n v="662224.07999999996"/>
    <n v="43000"/>
    <x v="0"/>
  </r>
  <r>
    <x v="2"/>
    <x v="7"/>
    <n v="600"/>
    <n v="1326"/>
    <n v="219"/>
    <x v="2"/>
    <x v="5"/>
    <n v="588"/>
    <x v="7"/>
    <n v="107803.92"/>
    <n v="16800"/>
    <x v="0"/>
  </r>
  <r>
    <x v="2"/>
    <x v="11"/>
    <n v="400"/>
    <n v="1326"/>
    <n v="219"/>
    <x v="2"/>
    <x v="5"/>
    <n v="399"/>
    <x v="13"/>
    <n v="73152.66"/>
    <n v="7600"/>
    <x v="0"/>
  </r>
  <r>
    <x v="0"/>
    <x v="12"/>
    <n v="870"/>
    <n v="3106"/>
    <n v="369"/>
    <x v="0"/>
    <x v="5"/>
    <n v="336"/>
    <x v="14"/>
    <n v="123204.48"/>
    <n v="13920"/>
    <x v="0"/>
  </r>
  <r>
    <x v="2"/>
    <x v="2"/>
    <n v="600"/>
    <n v="1326"/>
    <n v="219"/>
    <x v="2"/>
    <x v="5"/>
    <n v="420"/>
    <x v="2"/>
    <n v="77002.8"/>
    <n v="12000"/>
    <x v="0"/>
  </r>
  <r>
    <x v="0"/>
    <x v="13"/>
    <n v="870"/>
    <n v="3106"/>
    <n v="369"/>
    <x v="0"/>
    <x v="5"/>
    <n v="252"/>
    <x v="15"/>
    <n v="92403.36"/>
    <n v="10440"/>
    <x v="0"/>
  </r>
  <r>
    <x v="1"/>
    <x v="1"/>
    <n v="0"/>
    <n v="0"/>
    <n v="0"/>
    <x v="1"/>
    <x v="6"/>
    <n v="0"/>
    <x v="1"/>
    <n v="0"/>
    <n v="0"/>
    <x v="0"/>
  </r>
  <r>
    <x v="2"/>
    <x v="14"/>
    <n v="600"/>
    <n v="1326"/>
    <n v="219"/>
    <x v="2"/>
    <x v="6"/>
    <n v="693"/>
    <x v="16"/>
    <n v="126437.85"/>
    <n v="19800"/>
    <x v="0"/>
  </r>
  <r>
    <x v="2"/>
    <x v="15"/>
    <n v="670"/>
    <n v="1326"/>
    <n v="219"/>
    <x v="2"/>
    <x v="6"/>
    <n v="651"/>
    <x v="17"/>
    <n v="119354.34"/>
    <n v="20770"/>
    <x v="0"/>
  </r>
  <r>
    <x v="1"/>
    <x v="1"/>
    <n v="0"/>
    <n v="0"/>
    <n v="0"/>
    <x v="1"/>
    <x v="7"/>
    <n v="0"/>
    <x v="1"/>
    <n v="0"/>
    <n v="0"/>
    <x v="0"/>
  </r>
  <r>
    <x v="2"/>
    <x v="11"/>
    <n v="600"/>
    <n v="1326"/>
    <n v="219"/>
    <x v="2"/>
    <x v="7"/>
    <n v="399"/>
    <x v="13"/>
    <n v="73152.66"/>
    <n v="11400"/>
    <x v="0"/>
  </r>
  <r>
    <x v="2"/>
    <x v="0"/>
    <n v="600"/>
    <n v="1326"/>
    <n v="219"/>
    <x v="2"/>
    <x v="7"/>
    <n v="609"/>
    <x v="10"/>
    <n v="111654.06"/>
    <n v="17400"/>
    <x v="0"/>
  </r>
  <r>
    <x v="2"/>
    <x v="16"/>
    <n v="600"/>
    <n v="1326"/>
    <n v="219"/>
    <x v="2"/>
    <x v="7"/>
    <n v="378"/>
    <x v="18"/>
    <n v="69302.52"/>
    <n v="10800"/>
    <x v="0"/>
  </r>
  <r>
    <x v="2"/>
    <x v="16"/>
    <n v="600"/>
    <n v="1326"/>
    <n v="219"/>
    <x v="2"/>
    <x v="8"/>
    <n v="378"/>
    <x v="18"/>
    <n v="69302.52"/>
    <n v="10800"/>
    <x v="0"/>
  </r>
  <r>
    <x v="2"/>
    <x v="12"/>
    <n v="600"/>
    <n v="1326"/>
    <n v="219"/>
    <x v="2"/>
    <x v="8"/>
    <n v="336"/>
    <x v="19"/>
    <n v="61602.239999999998"/>
    <n v="9600"/>
    <x v="0"/>
  </r>
  <r>
    <x v="5"/>
    <x v="17"/>
    <s v="fee"/>
    <s v="labor"/>
    <s v="material"/>
    <x v="5"/>
    <x v="9"/>
    <s v="players"/>
    <x v="20"/>
    <s v="nonlocal "/>
    <s v="Total Fees"/>
    <x v="1"/>
  </r>
  <r>
    <x v="0"/>
    <x v="18"/>
    <n v="870"/>
    <n v="3106"/>
    <n v="369"/>
    <x v="0"/>
    <x v="0"/>
    <n v="189"/>
    <x v="18"/>
    <n v="69302.52"/>
    <n v="7830"/>
    <x v="2"/>
  </r>
  <r>
    <x v="0"/>
    <x v="18"/>
    <n v="700"/>
    <n v="3106"/>
    <n v="369"/>
    <x v="0"/>
    <x v="0"/>
    <n v="189"/>
    <x v="18"/>
    <n v="69302.52"/>
    <n v="6300"/>
    <x v="2"/>
  </r>
  <r>
    <x v="0"/>
    <x v="18"/>
    <n v="500"/>
    <n v="3106"/>
    <n v="369"/>
    <x v="0"/>
    <x v="0"/>
    <n v="189"/>
    <x v="18"/>
    <n v="69302.52"/>
    <n v="4500"/>
    <x v="2"/>
  </r>
  <r>
    <x v="2"/>
    <x v="9"/>
    <n v="1029"/>
    <n v="1326"/>
    <n v="219"/>
    <x v="2"/>
    <x v="0"/>
    <n v="504"/>
    <x v="15"/>
    <n v="92403.36"/>
    <n v="24696"/>
    <x v="2"/>
  </r>
  <r>
    <x v="0"/>
    <x v="4"/>
    <n v="1130"/>
    <n v="3106"/>
    <n v="369"/>
    <x v="0"/>
    <x v="1"/>
    <n v="483"/>
    <x v="21"/>
    <n v="177106.44"/>
    <n v="25990"/>
    <x v="2"/>
  </r>
  <r>
    <x v="2"/>
    <x v="8"/>
    <n v="500"/>
    <n v="1326"/>
    <n v="219"/>
    <x v="2"/>
    <x v="1"/>
    <n v="462"/>
    <x v="22"/>
    <n v="84703.08"/>
    <n v="11000"/>
    <x v="2"/>
  </r>
  <r>
    <x v="0"/>
    <x v="3"/>
    <n v="1273"/>
    <n v="3106"/>
    <n v="369"/>
    <x v="0"/>
    <x v="1"/>
    <n v="546"/>
    <x v="3"/>
    <n v="200207.28"/>
    <n v="33098"/>
    <x v="2"/>
  </r>
  <r>
    <x v="0"/>
    <x v="19"/>
    <n v="650"/>
    <n v="3106"/>
    <n v="369"/>
    <x v="0"/>
    <x v="1"/>
    <n v="714"/>
    <x v="23"/>
    <n v="261809.52"/>
    <n v="22100"/>
    <x v="2"/>
  </r>
  <r>
    <x v="2"/>
    <x v="8"/>
    <n v="600"/>
    <n v="1326"/>
    <n v="219"/>
    <x v="2"/>
    <x v="2"/>
    <n v="462"/>
    <x v="22"/>
    <n v="84703.08"/>
    <n v="13200"/>
    <x v="2"/>
  </r>
  <r>
    <x v="2"/>
    <x v="4"/>
    <n v="600"/>
    <n v="1326"/>
    <n v="219"/>
    <x v="2"/>
    <x v="2"/>
    <n v="483"/>
    <x v="4"/>
    <n v="88553.22"/>
    <n v="13800"/>
    <x v="2"/>
  </r>
  <r>
    <x v="0"/>
    <x v="20"/>
    <n v="350"/>
    <n v="3106"/>
    <n v="369"/>
    <x v="0"/>
    <x v="2"/>
    <n v="441"/>
    <x v="24"/>
    <n v="161705.88"/>
    <n v="7350"/>
    <x v="2"/>
  </r>
  <r>
    <x v="2"/>
    <x v="3"/>
    <n v="600"/>
    <n v="1326"/>
    <n v="219"/>
    <x v="2"/>
    <x v="2"/>
    <n v="546"/>
    <x v="25"/>
    <n v="100103.64"/>
    <n v="15600"/>
    <x v="2"/>
  </r>
  <r>
    <x v="2"/>
    <x v="9"/>
    <n v="600"/>
    <n v="1326"/>
    <n v="219"/>
    <x v="2"/>
    <x v="3"/>
    <n v="504"/>
    <x v="15"/>
    <n v="92403.36"/>
    <n v="14400"/>
    <x v="2"/>
  </r>
  <r>
    <x v="0"/>
    <x v="4"/>
    <n v="780"/>
    <n v="3106"/>
    <n v="369"/>
    <x v="0"/>
    <x v="3"/>
    <n v="483"/>
    <x v="21"/>
    <n v="177106.44"/>
    <n v="17940"/>
    <x v="2"/>
  </r>
  <r>
    <x v="0"/>
    <x v="12"/>
    <n v="870"/>
    <n v="3106"/>
    <n v="369"/>
    <x v="0"/>
    <x v="3"/>
    <n v="336"/>
    <x v="14"/>
    <n v="123204.48"/>
    <n v="13920"/>
    <x v="2"/>
  </r>
  <r>
    <x v="0"/>
    <x v="16"/>
    <n v="730"/>
    <n v="3106"/>
    <n v="369"/>
    <x v="0"/>
    <x v="4"/>
    <n v="378"/>
    <x v="26"/>
    <n v="138605.04"/>
    <n v="13140"/>
    <x v="2"/>
  </r>
  <r>
    <x v="0"/>
    <x v="20"/>
    <n v="1100"/>
    <n v="3106"/>
    <n v="369"/>
    <x v="0"/>
    <x v="4"/>
    <n v="441"/>
    <x v="24"/>
    <n v="161705.88"/>
    <n v="23100"/>
    <x v="2"/>
  </r>
  <r>
    <x v="0"/>
    <x v="8"/>
    <n v="1100"/>
    <n v="3106"/>
    <n v="369"/>
    <x v="0"/>
    <x v="4"/>
    <n v="462"/>
    <x v="8"/>
    <n v="169406.16"/>
    <n v="24200"/>
    <x v="2"/>
  </r>
  <r>
    <x v="2"/>
    <x v="11"/>
    <n v="880"/>
    <n v="1326"/>
    <n v="219"/>
    <x v="2"/>
    <x v="5"/>
    <n v="399"/>
    <x v="13"/>
    <n v="73152.66"/>
    <n v="16720"/>
    <x v="2"/>
  </r>
  <r>
    <x v="2"/>
    <x v="21"/>
    <n v="800"/>
    <n v="1326"/>
    <n v="219"/>
    <x v="2"/>
    <x v="5"/>
    <n v="357"/>
    <x v="27"/>
    <n v="65452.38"/>
    <n v="13600"/>
    <x v="2"/>
  </r>
  <r>
    <x v="0"/>
    <x v="4"/>
    <n v="870"/>
    <n v="3106"/>
    <n v="369"/>
    <x v="0"/>
    <x v="5"/>
    <n v="483"/>
    <x v="21"/>
    <n v="177106.44"/>
    <n v="20010"/>
    <x v="2"/>
  </r>
  <r>
    <x v="2"/>
    <x v="7"/>
    <n v="600"/>
    <n v="1326"/>
    <n v="219"/>
    <x v="2"/>
    <x v="5"/>
    <n v="588"/>
    <x v="7"/>
    <n v="107803.92"/>
    <n v="16800"/>
    <x v="2"/>
  </r>
  <r>
    <x v="0"/>
    <x v="22"/>
    <n v="870"/>
    <n v="3106"/>
    <n v="369"/>
    <x v="0"/>
    <x v="6"/>
    <n v="525"/>
    <x v="28"/>
    <n v="192507"/>
    <n v="21750"/>
    <x v="2"/>
  </r>
  <r>
    <x v="0"/>
    <x v="20"/>
    <n v="770"/>
    <n v="3106"/>
    <n v="369"/>
    <x v="0"/>
    <x v="6"/>
    <n v="441"/>
    <x v="24"/>
    <n v="161705.88"/>
    <n v="16170"/>
    <x v="2"/>
  </r>
  <r>
    <x v="2"/>
    <x v="16"/>
    <n v="480"/>
    <n v="1326"/>
    <n v="219"/>
    <x v="2"/>
    <x v="6"/>
    <n v="378"/>
    <x v="18"/>
    <n v="69302.52"/>
    <n v="8640"/>
    <x v="2"/>
  </r>
  <r>
    <x v="0"/>
    <x v="20"/>
    <n v="750"/>
    <n v="3106"/>
    <n v="369"/>
    <x v="0"/>
    <x v="7"/>
    <n v="441"/>
    <x v="24"/>
    <n v="161705.88"/>
    <n v="15750"/>
    <x v="2"/>
  </r>
  <r>
    <x v="2"/>
    <x v="4"/>
    <n v="600"/>
    <n v="1326"/>
    <n v="219"/>
    <x v="2"/>
    <x v="7"/>
    <n v="483"/>
    <x v="4"/>
    <n v="88553.22"/>
    <n v="13800"/>
    <x v="2"/>
  </r>
  <r>
    <x v="2"/>
    <x v="0"/>
    <n v="600"/>
    <n v="1326"/>
    <n v="219"/>
    <x v="2"/>
    <x v="7"/>
    <n v="609"/>
    <x v="10"/>
    <n v="111654.06"/>
    <n v="17400"/>
    <x v="2"/>
  </r>
  <r>
    <x v="2"/>
    <x v="20"/>
    <n v="480"/>
    <n v="1326"/>
    <n v="219"/>
    <x v="2"/>
    <x v="7"/>
    <n v="441"/>
    <x v="29"/>
    <n v="80852.94"/>
    <n v="10080"/>
    <x v="2"/>
  </r>
  <r>
    <x v="5"/>
    <x v="17"/>
    <s v="fee"/>
    <s v="labor"/>
    <s v="material"/>
    <x v="6"/>
    <x v="9"/>
    <s v="players"/>
    <x v="20"/>
    <s v="nonlocal"/>
    <s v="Total Fees"/>
    <x v="1"/>
  </r>
  <r>
    <x v="2"/>
    <x v="20"/>
    <n v="1000"/>
    <n v="1326"/>
    <n v="219"/>
    <x v="2"/>
    <x v="0"/>
    <n v="441"/>
    <x v="29"/>
    <n v="80852.94"/>
    <n v="21000"/>
    <x v="3"/>
  </r>
  <r>
    <x v="2"/>
    <x v="4"/>
    <n v="600"/>
    <n v="1326"/>
    <n v="219"/>
    <x v="2"/>
    <x v="0"/>
    <n v="483"/>
    <x v="4"/>
    <n v="88553.22"/>
    <n v="13800"/>
    <x v="3"/>
  </r>
  <r>
    <x v="3"/>
    <x v="8"/>
    <n v="0"/>
    <n v="5482"/>
    <n v="575"/>
    <x v="3"/>
    <x v="0"/>
    <n v="462"/>
    <x v="30"/>
    <n v="254109.24"/>
    <n v="0"/>
    <x v="3"/>
  </r>
  <r>
    <x v="2"/>
    <x v="23"/>
    <n v="0"/>
    <n v="1326"/>
    <n v="219"/>
    <x v="2"/>
    <x v="0"/>
    <n v="315"/>
    <x v="31"/>
    <n v="57752.1"/>
    <n v="0"/>
    <x v="3"/>
  </r>
  <r>
    <x v="2"/>
    <x v="16"/>
    <n v="600"/>
    <n v="1326"/>
    <n v="219"/>
    <x v="2"/>
    <x v="1"/>
    <n v="378"/>
    <x v="18"/>
    <n v="69302.52"/>
    <n v="10800"/>
    <x v="3"/>
  </r>
  <r>
    <x v="2"/>
    <x v="2"/>
    <n v="500"/>
    <n v="1326"/>
    <n v="219"/>
    <x v="2"/>
    <x v="1"/>
    <n v="420"/>
    <x v="2"/>
    <n v="77002.8"/>
    <n v="10000"/>
    <x v="3"/>
  </r>
  <r>
    <x v="2"/>
    <x v="22"/>
    <n v="600"/>
    <n v="1326"/>
    <n v="219"/>
    <x v="2"/>
    <x v="1"/>
    <n v="525"/>
    <x v="32"/>
    <n v="96253.5"/>
    <n v="15000"/>
    <x v="3"/>
  </r>
  <r>
    <x v="2"/>
    <x v="22"/>
    <n v="711.25"/>
    <n v="1326"/>
    <n v="219"/>
    <x v="2"/>
    <x v="1"/>
    <n v="525"/>
    <x v="32"/>
    <n v="96253.5"/>
    <n v="17781.25"/>
    <x v="3"/>
  </r>
  <r>
    <x v="0"/>
    <x v="2"/>
    <n v="750"/>
    <n v="3106"/>
    <n v="369"/>
    <x v="0"/>
    <x v="2"/>
    <n v="420"/>
    <x v="33"/>
    <n v="154005.6"/>
    <n v="15000"/>
    <x v="3"/>
  </r>
  <r>
    <x v="2"/>
    <x v="2"/>
    <n v="870"/>
    <n v="1326"/>
    <n v="219"/>
    <x v="2"/>
    <x v="2"/>
    <n v="420"/>
    <x v="2"/>
    <n v="77002.8"/>
    <n v="17400"/>
    <x v="3"/>
  </r>
  <r>
    <x v="2"/>
    <x v="2"/>
    <n v="500"/>
    <n v="1326"/>
    <n v="219"/>
    <x v="2"/>
    <x v="2"/>
    <n v="420"/>
    <x v="2"/>
    <n v="77002.8"/>
    <n v="10000"/>
    <x v="3"/>
  </r>
  <r>
    <x v="2"/>
    <x v="24"/>
    <n v="270"/>
    <n v="1326"/>
    <n v="219"/>
    <x v="2"/>
    <x v="2"/>
    <n v="294"/>
    <x v="34"/>
    <n v="53901.96"/>
    <n v="3780"/>
    <x v="3"/>
  </r>
  <r>
    <x v="0"/>
    <x v="8"/>
    <n v="870"/>
    <n v="3106"/>
    <n v="369"/>
    <x v="0"/>
    <x v="2"/>
    <n v="462"/>
    <x v="8"/>
    <n v="169406.16"/>
    <n v="19140"/>
    <x v="3"/>
  </r>
  <r>
    <x v="0"/>
    <x v="2"/>
    <n v="870"/>
    <n v="3106"/>
    <n v="369"/>
    <x v="0"/>
    <x v="3"/>
    <n v="420"/>
    <x v="33"/>
    <n v="154005.6"/>
    <n v="17400"/>
    <x v="3"/>
  </r>
  <r>
    <x v="0"/>
    <x v="25"/>
    <n v="750"/>
    <n v="3106"/>
    <n v="369"/>
    <x v="0"/>
    <x v="3"/>
    <n v="567"/>
    <x v="35"/>
    <n v="207907.56"/>
    <n v="20250"/>
    <x v="3"/>
  </r>
  <r>
    <x v="2"/>
    <x v="16"/>
    <n v="600"/>
    <n v="1326"/>
    <n v="219"/>
    <x v="2"/>
    <x v="3"/>
    <n v="378"/>
    <x v="18"/>
    <n v="69302.52"/>
    <n v="10800"/>
    <x v="3"/>
  </r>
  <r>
    <x v="0"/>
    <x v="9"/>
    <n v="750"/>
    <n v="3106"/>
    <n v="369"/>
    <x v="0"/>
    <x v="4"/>
    <n v="504"/>
    <x v="36"/>
    <n v="184806.72"/>
    <n v="18000"/>
    <x v="3"/>
  </r>
  <r>
    <x v="0"/>
    <x v="2"/>
    <n v="0"/>
    <n v="3106"/>
    <n v="369"/>
    <x v="0"/>
    <x v="4"/>
    <n v="420"/>
    <x v="33"/>
    <n v="154005.6"/>
    <n v="0"/>
    <x v="3"/>
  </r>
  <r>
    <x v="4"/>
    <x v="26"/>
    <n v="1050"/>
    <n v="7000"/>
    <n v="700"/>
    <x v="4"/>
    <x v="4"/>
    <n v="882"/>
    <x v="37"/>
    <n v="646823.52"/>
    <n v="44100"/>
    <x v="3"/>
  </r>
  <r>
    <x v="6"/>
    <x v="27"/>
    <n v="0"/>
    <n v="10000"/>
    <n v="1100"/>
    <x v="7"/>
    <x v="4"/>
    <n v="1470"/>
    <x v="38"/>
    <n v="1347549"/>
    <n v="0"/>
    <x v="3"/>
  </r>
  <r>
    <x v="2"/>
    <x v="3"/>
    <n v="600"/>
    <n v="1326"/>
    <n v="219"/>
    <x v="2"/>
    <x v="4"/>
    <n v="546"/>
    <x v="25"/>
    <n v="100103.64"/>
    <n v="15600"/>
    <x v="3"/>
  </r>
  <r>
    <x v="2"/>
    <x v="8"/>
    <n v="600"/>
    <n v="1326"/>
    <n v="219"/>
    <x v="2"/>
    <x v="5"/>
    <n v="462"/>
    <x v="22"/>
    <n v="84703.08"/>
    <n v="13200"/>
    <x v="3"/>
  </r>
  <r>
    <x v="2"/>
    <x v="2"/>
    <n v="1200"/>
    <n v="1326"/>
    <n v="219"/>
    <x v="2"/>
    <x v="5"/>
    <n v="420"/>
    <x v="2"/>
    <n v="77002.8"/>
    <n v="24000"/>
    <x v="3"/>
  </r>
  <r>
    <x v="0"/>
    <x v="20"/>
    <n v="770"/>
    <n v="3106"/>
    <n v="369"/>
    <x v="0"/>
    <x v="5"/>
    <n v="441"/>
    <x v="24"/>
    <n v="161705.88"/>
    <n v="16170"/>
    <x v="3"/>
  </r>
  <r>
    <x v="2"/>
    <x v="15"/>
    <n v="0"/>
    <n v="1326"/>
    <n v="217"/>
    <x v="2"/>
    <x v="5"/>
    <n v="651"/>
    <x v="17"/>
    <n v="119354.34"/>
    <n v="0"/>
    <x v="3"/>
  </r>
  <r>
    <x v="0"/>
    <x v="12"/>
    <n v="870"/>
    <n v="3106"/>
    <n v="369"/>
    <x v="0"/>
    <x v="6"/>
    <n v="336"/>
    <x v="14"/>
    <n v="123204.48"/>
    <n v="13920"/>
    <x v="3"/>
  </r>
  <r>
    <x v="0"/>
    <x v="8"/>
    <n v="0"/>
    <n v="3106"/>
    <n v="369"/>
    <x v="0"/>
    <x v="6"/>
    <n v="462"/>
    <x v="8"/>
    <n v="169406.16"/>
    <n v="0"/>
    <x v="3"/>
  </r>
  <r>
    <x v="0"/>
    <x v="7"/>
    <n v="750"/>
    <n v="3106"/>
    <n v="369"/>
    <x v="0"/>
    <x v="6"/>
    <n v="588"/>
    <x v="9"/>
    <n v="215607.84"/>
    <n v="21000"/>
    <x v="3"/>
  </r>
  <r>
    <x v="2"/>
    <x v="3"/>
    <n v="600"/>
    <n v="1326"/>
    <n v="219"/>
    <x v="2"/>
    <x v="6"/>
    <n v="546"/>
    <x v="25"/>
    <n v="100103.64"/>
    <n v="15600"/>
    <x v="3"/>
  </r>
  <r>
    <x v="2"/>
    <x v="3"/>
    <n v="0"/>
    <n v="1326"/>
    <n v="219"/>
    <x v="2"/>
    <x v="7"/>
    <n v="546"/>
    <x v="25"/>
    <n v="100103.64"/>
    <n v="0"/>
    <x v="3"/>
  </r>
  <r>
    <x v="2"/>
    <x v="3"/>
    <n v="600"/>
    <n v="1326"/>
    <n v="219"/>
    <x v="2"/>
    <x v="7"/>
    <n v="546"/>
    <x v="25"/>
    <n v="100103.64"/>
    <n v="15600"/>
    <x v="3"/>
  </r>
  <r>
    <x v="2"/>
    <x v="4"/>
    <n v="600"/>
    <n v="1326"/>
    <n v="219"/>
    <x v="2"/>
    <x v="7"/>
    <n v="483"/>
    <x v="4"/>
    <n v="88553.22"/>
    <n v="13800"/>
    <x v="3"/>
  </r>
  <r>
    <x v="2"/>
    <x v="2"/>
    <n v="600"/>
    <n v="1326"/>
    <n v="219"/>
    <x v="2"/>
    <x v="8"/>
    <n v="420"/>
    <x v="2"/>
    <n v="77002.8"/>
    <n v="12000"/>
    <x v="3"/>
  </r>
  <r>
    <x v="3"/>
    <x v="23"/>
    <n v="0"/>
    <n v="5482"/>
    <n v="575"/>
    <x v="3"/>
    <x v="8"/>
    <n v="315"/>
    <x v="39"/>
    <n v="173256.3"/>
    <n v="0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11635.448275862069"/>
    <x v="0"/>
    <x v="0"/>
  </r>
  <r>
    <n v="7801.5897435897432"/>
    <x v="1"/>
    <x v="0"/>
  </r>
  <r>
    <n v="6229.44"/>
    <x v="2"/>
    <x v="0"/>
  </r>
  <r>
    <n v="8442"/>
    <x v="3"/>
    <x v="0"/>
  </r>
  <r>
    <n v="13752.126315789474"/>
    <x v="4"/>
    <x v="0"/>
  </r>
  <r>
    <n v="5601.0315789473689"/>
    <x v="5"/>
    <x v="0"/>
  </r>
  <r>
    <n v="4315.171875"/>
    <x v="6"/>
    <x v="0"/>
  </r>
  <r>
    <n v="4326"/>
    <x v="7"/>
    <x v="0"/>
  </r>
  <r>
    <n v="4326"/>
    <x v="8"/>
    <x v="0"/>
  </r>
  <r>
    <n v="6616.2352941176468"/>
    <x v="0"/>
    <x v="1"/>
  </r>
  <r>
    <n v="7745.6"/>
    <x v="1"/>
    <x v="1"/>
  </r>
  <r>
    <n v="5313.45652173913"/>
    <x v="2"/>
    <x v="1"/>
  </r>
  <r>
    <n v="7004"/>
    <x v="3"/>
    <x v="1"/>
  </r>
  <r>
    <n v="8652"/>
    <x v="4"/>
    <x v="1"/>
  </r>
  <r>
    <n v="5469.6551724137935"/>
    <x v="5"/>
    <x v="1"/>
  </r>
  <r>
    <n v="7435.3125"/>
    <x v="6"/>
    <x v="1"/>
  </r>
  <r>
    <n v="5292.4468085106382"/>
    <x v="7"/>
    <x v="1"/>
  </r>
  <r>
    <n v="6675.9259259259261"/>
    <x v="0"/>
    <x v="2"/>
  </r>
  <r>
    <n v="4326"/>
    <x v="1"/>
    <x v="2"/>
  </r>
  <r>
    <n v="6218.625"/>
    <x v="2"/>
    <x v="2"/>
  </r>
  <r>
    <n v="7454.0307692307688"/>
    <x v="3"/>
    <x v="2"/>
  </r>
  <r>
    <n v="15022.153846153846"/>
    <x v="4"/>
    <x v="2"/>
  </r>
  <r>
    <n v="5292.4468085106382"/>
    <x v="5"/>
    <x v="2"/>
  </r>
  <r>
    <n v="7429.434782608696"/>
    <x v="6"/>
    <x v="2"/>
  </r>
  <r>
    <n v="4326"/>
    <x v="7"/>
    <x v="2"/>
  </r>
  <r>
    <n v="8034"/>
    <x v="8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64778.61713242987"/>
    <x v="0"/>
  </r>
  <r>
    <n v="66428"/>
    <x v="1"/>
  </r>
  <r>
    <n v="53528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</r>
  <r>
    <x v="1"/>
    <x v="1"/>
  </r>
  <r>
    <x v="2"/>
    <x v="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"/>
    <x v="0"/>
  </r>
  <r>
    <n v="14"/>
    <x v="1"/>
  </r>
  <r>
    <n v="13"/>
    <x v="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0"/>
  </r>
  <r>
    <x v="1"/>
    <n v="10"/>
  </r>
  <r>
    <x v="2"/>
    <n v="16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2"/>
  </r>
  <r>
    <x v="1"/>
    <n v="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x v="0"/>
    <n v="166484"/>
  </r>
  <r>
    <x v="1"/>
    <x v="1"/>
    <x v="1"/>
    <n v="127053"/>
  </r>
  <r>
    <x v="2"/>
    <x v="2"/>
    <x v="2"/>
    <n v="1035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523AE1-CE06-4E56-A9B1-E2C56FD02E68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E14" firstHeaderRow="1" firstDataRow="2" firstDataCol="1"/>
  <pivotFields count="12">
    <pivotField showAll="0"/>
    <pivotField showAll="0"/>
    <pivotField showAll="0"/>
    <pivotField showAll="0"/>
    <pivotField showAll="0"/>
    <pivotField showAll="0">
      <items count="9">
        <item x="1"/>
        <item x="2"/>
        <item x="0"/>
        <item x="3"/>
        <item x="4"/>
        <item x="7"/>
        <item x="6"/>
        <item x="5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dataField="1" showAll="0"/>
    <pivotField axis="axisCol" showAll="0">
      <items count="5">
        <item x="3"/>
        <item x="0"/>
        <item x="2"/>
        <item h="1" x="1"/>
        <item t="default"/>
      </items>
    </pivotField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Fees" fld="10" baseField="6" baseItem="0"/>
  </dataFields>
  <chartFormats count="7"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9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9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9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2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533266-77DD-43E3-AC51-A4744F4B518A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F15" firstHeaderRow="1" firstDataRow="2" firstDataCol="1"/>
  <pivotFields count="12">
    <pivotField showAll="0"/>
    <pivotField showAll="0">
      <items count="29">
        <item x="1"/>
        <item x="18"/>
        <item x="13"/>
        <item x="24"/>
        <item x="23"/>
        <item x="12"/>
        <item x="21"/>
        <item x="16"/>
        <item x="11"/>
        <item x="2"/>
        <item x="20"/>
        <item x="8"/>
        <item x="4"/>
        <item x="9"/>
        <item x="22"/>
        <item x="3"/>
        <item x="25"/>
        <item x="7"/>
        <item x="0"/>
        <item x="15"/>
        <item x="6"/>
        <item x="14"/>
        <item x="19"/>
        <item x="5"/>
        <item x="26"/>
        <item x="10"/>
        <item x="27"/>
        <item x="17"/>
        <item t="default"/>
      </items>
    </pivotField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 avgSubtotal="1">
      <items count="41">
        <item x="1"/>
        <item x="34"/>
        <item x="31"/>
        <item x="19"/>
        <item x="27"/>
        <item x="18"/>
        <item x="13"/>
        <item x="2"/>
        <item x="29"/>
        <item x="22"/>
        <item x="4"/>
        <item x="15"/>
        <item x="32"/>
        <item x="25"/>
        <item x="7"/>
        <item x="10"/>
        <item x="17"/>
        <item x="14"/>
        <item x="16"/>
        <item x="26"/>
        <item x="33"/>
        <item x="24"/>
        <item x="8"/>
        <item x="39"/>
        <item x="21"/>
        <item x="36"/>
        <item x="28"/>
        <item x="3"/>
        <item x="35"/>
        <item x="9"/>
        <item x="0"/>
        <item x="6"/>
        <item x="30"/>
        <item x="23"/>
        <item x="5"/>
        <item x="11"/>
        <item x="37"/>
        <item x="12"/>
        <item x="38"/>
        <item x="20"/>
        <item t="avg"/>
      </items>
    </pivotField>
    <pivotField showAll="0"/>
    <pivotField showAll="0"/>
    <pivotField axis="axisCol" showAll="0">
      <items count="5">
        <item x="3"/>
        <item x="0"/>
        <item x="2"/>
        <item x="1"/>
        <item t="default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spending" fld="8" subtotal="average" baseField="11" baseItem="0"/>
  </dataFields>
  <chartFormats count="4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2799F-66B9-4C7C-88F4-1E973315C47E}" name="PivotTable9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0:B44" firstHeaderRow="1" firstDataRow="1" firstDataCol="1"/>
  <pivotFields count="2"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" fld="0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D5C18B-62AB-45E4-A573-4D43919A7742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E14" firstHeaderRow="1" firstDataRow="2" firstDataCol="1"/>
  <pivotFields count="3">
    <pivotField dataField="1"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showAll="0">
      <items count="4">
        <item x="2"/>
        <item x="0"/>
        <item x="1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Spending per team " fld="0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404DD4-4679-4BEE-A4F7-414764A3D8F2}" name="PivotTable10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5" firstHeaderRow="1" firstDataRow="2" firstDataCol="1"/>
  <pivotFields count="2">
    <pivotField dataField="1" showAll="0">
      <items count="4">
        <item x="1"/>
        <item x="0"/>
        <item x="2"/>
        <item t="default"/>
      </items>
    </pivotField>
    <pivotField axis="axisCol" showAll="0">
      <items count="4">
        <item x="2"/>
        <item x="0"/>
        <item x="1"/>
        <item t="default"/>
      </items>
    </pivotField>
  </pivotFields>
  <rowItems count="1">
    <i/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pending " fld="0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D942C-DC31-4824-96E5-BC737C977431}" name="PivotTable1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2 Day Events" fld="1" baseField="0" baseItem="0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CA8F78-4597-4020-A00D-A509AAD69ECF}" name="PivotTable17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3 Day Events" fld="1" baseField="0" baseItem="0"/>
  </dataFields>
  <chartFormats count="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7C02E6-2C06-41BF-B397-92AAC0E1E700}" name="PivotTable1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F7" firstHeaderRow="1" firstDataRow="2" firstDataCol="1" rowPageCount="1" colPageCount="1"/>
  <pivotFields count="12">
    <pivotField axis="axisPage" multipleItemSelectionAllowed="1" showAll="0">
      <items count="8">
        <item h="1" x="1"/>
        <item h="1" x="2"/>
        <item h="1" x="0"/>
        <item x="3"/>
        <item h="1" x="4"/>
        <item h="1" x="6"/>
        <item h="1" x="5"/>
        <item t="default"/>
      </items>
    </pivotField>
    <pivotField showAll="0"/>
    <pivotField showAll="0"/>
    <pivotField showAll="0"/>
    <pivotField showAll="0"/>
    <pivotField dataField="1" showAll="0">
      <items count="9">
        <item x="1"/>
        <item x="2"/>
        <item x="0"/>
        <item x="3"/>
        <item x="4"/>
        <item x="7"/>
        <item x="6"/>
        <item x="5"/>
        <item t="default"/>
      </items>
    </pivotField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axis="axisRow" showAll="0">
      <items count="5">
        <item x="3"/>
        <item x="0"/>
        <item x="2"/>
        <item h="1" x="1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6"/>
  </colFields>
  <colItems count="5">
    <i>
      <x/>
    </i>
    <i>
      <x v="3"/>
    </i>
    <i>
      <x v="4"/>
    </i>
    <i>
      <x v="8"/>
    </i>
    <i t="grand">
      <x/>
    </i>
  </colItems>
  <pageFields count="1">
    <pageField fld="0" hier="-1"/>
  </pageFields>
  <dataFields count="1">
    <dataField name="Count of combined" fld="5" subtotal="count" baseField="0" baseItem="0"/>
  </dataFields>
  <chartFormats count="26">
    <chartFormat chart="10" format="9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10" format="10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10" format="11" series="1">
      <pivotArea type="data" outline="0" fieldPosition="0">
        <references count="1">
          <reference field="6" count="1" selected="0">
            <x v="2"/>
          </reference>
        </references>
      </pivotArea>
    </chartFormat>
    <chartFormat chart="10" format="12" series="1">
      <pivotArea type="data" outline="0" fieldPosition="0">
        <references count="1">
          <reference field="6" count="1" selected="0">
            <x v="3"/>
          </reference>
        </references>
      </pivotArea>
    </chartFormat>
    <chartFormat chart="10" format="13" series="1">
      <pivotArea type="data" outline="0" fieldPosition="0">
        <references count="1">
          <reference field="6" count="1" selected="0">
            <x v="4"/>
          </reference>
        </references>
      </pivotArea>
    </chartFormat>
    <chartFormat chart="10" format="14" series="1">
      <pivotArea type="data" outline="0" fieldPosition="0">
        <references count="1">
          <reference field="6" count="1" selected="0">
            <x v="5"/>
          </reference>
        </references>
      </pivotArea>
    </chartFormat>
    <chartFormat chart="10" format="15" series="1">
      <pivotArea type="data" outline="0" fieldPosition="0">
        <references count="1">
          <reference field="6" count="1" selected="0">
            <x v="6"/>
          </reference>
        </references>
      </pivotArea>
    </chartFormat>
    <chartFormat chart="10" format="16" series="1">
      <pivotArea type="data" outline="0" fieldPosition="0">
        <references count="1">
          <reference field="6" count="1" selected="0">
            <x v="7"/>
          </reference>
        </references>
      </pivotArea>
    </chartFormat>
    <chartFormat chart="10" format="17" series="1">
      <pivotArea type="data" outline="0" fieldPosition="0">
        <references count="1">
          <reference field="6" count="1" selected="0">
            <x v="8"/>
          </reference>
        </references>
      </pivotArea>
    </chartFormat>
    <chartFormat chart="10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0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0" format="2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0" format="2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0" format="2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10" format="2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10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10" format="2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27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1" count="1" selected="0">
            <x v="0"/>
          </reference>
        </references>
      </pivotArea>
    </chartFormat>
    <chartFormat chart="10" format="28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1" count="1" selected="0">
            <x v="1"/>
          </reference>
        </references>
      </pivotArea>
    </chartFormat>
    <chartFormat chart="10" format="29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1" count="1" selected="0">
            <x v="0"/>
          </reference>
        </references>
      </pivotArea>
    </chartFormat>
    <chartFormat chart="10" format="30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1" count="1" selected="0">
            <x v="1"/>
          </reference>
        </references>
      </pivotArea>
    </chartFormat>
    <chartFormat chart="10" format="31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11" count="1" selected="0">
            <x v="0"/>
          </reference>
        </references>
      </pivotArea>
    </chartFormat>
    <chartFormat chart="10" format="32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11" count="1" selected="0">
            <x v="1"/>
          </reference>
        </references>
      </pivotArea>
    </chartFormat>
    <chartFormat chart="10" format="33">
      <pivotArea type="data" outline="0" fieldPosition="0">
        <references count="3">
          <reference field="4294967294" count="1" selected="0">
            <x v="0"/>
          </reference>
          <reference field="6" count="1" selected="0">
            <x v="8"/>
          </reference>
          <reference field="11" count="1" selected="0">
            <x v="0"/>
          </reference>
        </references>
      </pivotArea>
    </chartFormat>
    <chartFormat chart="10" format="34">
      <pivotArea type="data" outline="0" fieldPosition="0">
        <references count="3">
          <reference field="4294967294" count="1" selected="0">
            <x v="0"/>
          </reference>
          <reference field="6" count="1" selected="0">
            <x v="8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B9D6E-6724-4594-9352-9E257515709B}" name="PivotTable1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U15:V19" firstHeaderRow="1" firstDataRow="1" firstDataCol="1"/>
  <pivotFields count="2"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1 day events" fld="0" baseField="0" baseItem="0"/>
  </dataFields>
  <chartFormats count="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41D36A-0FE5-41ED-AD6B-ACCE635DAF85}" name="PivotTable5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7" firstHeaderRow="0" firstDataRow="1" firstDataCol="1"/>
  <pivotFields count="4">
    <pivotField axis="axisRow" showAll="0">
      <items count="4">
        <item x="0"/>
        <item x="1"/>
        <item x="2"/>
        <item t="default"/>
      </items>
    </pivotField>
    <pivotField dataField="1" showAll="0">
      <items count="4">
        <item x="2"/>
        <item x="1"/>
        <item x="0"/>
        <item t="default"/>
      </items>
    </pivotField>
    <pivotField dataField="1" showAll="0">
      <items count="4">
        <item x="2"/>
        <item x="1"/>
        <item x="0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Direct Tax" fld="1" baseField="0" baseItem="0"/>
    <dataField name="Sum of Lower Bound" fld="2" baseField="0" baseItem="0"/>
    <dataField name="Sum of Upper Bound 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35872-3A50-429D-A49D-2AF191C7957A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M9:R21" firstHeaderRow="1" firstDataRow="2" firstDataCol="1"/>
  <pivotFields count="12">
    <pivotField showAll="0"/>
    <pivotField showAll="0">
      <items count="29">
        <item x="1"/>
        <item x="18"/>
        <item x="13"/>
        <item x="24"/>
        <item x="23"/>
        <item x="12"/>
        <item x="21"/>
        <item x="16"/>
        <item x="11"/>
        <item x="2"/>
        <item x="20"/>
        <item x="8"/>
        <item x="4"/>
        <item x="9"/>
        <item x="22"/>
        <item x="3"/>
        <item x="25"/>
        <item x="7"/>
        <item x="0"/>
        <item x="15"/>
        <item x="6"/>
        <item x="14"/>
        <item x="19"/>
        <item x="5"/>
        <item x="26"/>
        <item x="10"/>
        <item x="27"/>
        <item x="17"/>
        <item t="default"/>
      </items>
    </pivotField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 avgSubtotal="1">
      <items count="41">
        <item x="1"/>
        <item x="34"/>
        <item x="31"/>
        <item x="19"/>
        <item x="27"/>
        <item x="18"/>
        <item x="13"/>
        <item x="2"/>
        <item x="29"/>
        <item x="22"/>
        <item x="4"/>
        <item x="15"/>
        <item x="32"/>
        <item x="25"/>
        <item x="7"/>
        <item x="10"/>
        <item x="17"/>
        <item x="14"/>
        <item x="16"/>
        <item x="26"/>
        <item x="33"/>
        <item x="24"/>
        <item x="8"/>
        <item x="39"/>
        <item x="21"/>
        <item x="36"/>
        <item x="28"/>
        <item x="3"/>
        <item x="35"/>
        <item x="9"/>
        <item x="0"/>
        <item x="6"/>
        <item x="30"/>
        <item x="23"/>
        <item x="5"/>
        <item x="11"/>
        <item x="37"/>
        <item x="12"/>
        <item x="38"/>
        <item x="20"/>
        <item t="avg"/>
      </items>
    </pivotField>
    <pivotField showAll="0"/>
    <pivotField showAll="0"/>
    <pivotField axis="axisCol" showAll="0">
      <items count="5">
        <item x="3"/>
        <item x="0"/>
        <item x="2"/>
        <item x="1"/>
        <item t="default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spending" fld="8" subtotal="average" baseField="11" baseItem="0"/>
  </dataFields>
  <chartFormats count="4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ABA6B2-AFD5-476D-A57F-578ABEEA2313}" autoFormatId="16" applyNumberFormats="0" applyBorderFormats="0" applyFontFormats="0" applyPatternFormats="0" applyAlignmentFormats="0" applyWidthHeightFormats="0">
  <queryTableRefresh nextId="11">
    <queryTableFields count="10">
      <queryTableField id="1" name="days" tableColumnId="1"/>
      <queryTableField id="2" name="teams" tableColumnId="2"/>
      <queryTableField id="3" name="fee" tableColumnId="3"/>
      <queryTableField id="4" name="labor" tableColumnId="4"/>
      <queryTableField id="5" name="material" tableColumnId="5"/>
      <queryTableField id="6" name="combined" tableColumnId="6"/>
      <queryTableField id="7" name="month" tableColumnId="7"/>
      <queryTableField id="8" name="players" tableColumnId="8"/>
      <queryTableField id="9" name="spending" tableColumnId="9"/>
      <queryTableField id="10" name="nonlocal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722DA01-D3B3-4919-A8E8-BE08EC2A91AB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dataBound="0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0E7A5AC-B49D-4289-A45D-4B09B44E14FA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5045CF-DC6E-4368-9335-6C5FB0119EAF}" name="Table1_2" displayName="Table1_2" ref="A1:J36" tableType="queryTable" totalsRowShown="0">
  <autoFilter ref="A1:J36" xr:uid="{F85045CF-DC6E-4368-9335-6C5FB0119EAF}"/>
  <tableColumns count="10">
    <tableColumn id="1" xr3:uid="{816C4D4E-2826-4CB6-89D4-C13AFBA7754B}" uniqueName="1" name="days" queryTableFieldId="1"/>
    <tableColumn id="2" xr3:uid="{9357941B-145A-4456-83DB-5D2B48FE3AF7}" uniqueName="2" name="teams" queryTableFieldId="2"/>
    <tableColumn id="3" xr3:uid="{FA271742-78B9-487B-AA96-1893A9E12B54}" uniqueName="3" name="fee" queryTableFieldId="3"/>
    <tableColumn id="4" xr3:uid="{B5E60933-8442-4A90-83D1-A074CF97C621}" uniqueName="4" name="labor" queryTableFieldId="4"/>
    <tableColumn id="5" xr3:uid="{7AC0A52F-F7F5-4E70-A6B4-4DBE5E4CF442}" uniqueName="5" name="material" queryTableFieldId="5"/>
    <tableColumn id="6" xr3:uid="{8BFF34F7-9F2A-4022-A828-5B7B7991FA9D}" uniqueName="6" name="combined" queryTableFieldId="6"/>
    <tableColumn id="7" xr3:uid="{4B31BD5C-F89E-4117-8162-F1425AAF4942}" uniqueName="7" name="month" queryTableFieldId="7"/>
    <tableColumn id="8" xr3:uid="{F32F10A8-7336-480E-AB20-617B27CD8075}" uniqueName="8" name="players" queryTableFieldId="8"/>
    <tableColumn id="9" xr3:uid="{FEB0627E-EF1D-495E-85F8-4BB30AE203C2}" uniqueName="9" name="spending" queryTableFieldId="9"/>
    <tableColumn id="10" xr3:uid="{B83D0DFA-40C9-4AD0-98DD-1E198E025C07}" uniqueName="10" name="nonlocal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6EFF9A-D54A-4C4C-866D-7B4841B9AF3C}" name="Table3_2" displayName="Table3_2" ref="A1:K30" tableType="queryTable" totalsRowShown="0">
  <autoFilter ref="A1:K30" xr:uid="{096EFF9A-D54A-4C4C-866D-7B4841B9AF3C}"/>
  <tableColumns count="11">
    <tableColumn id="1" xr3:uid="{1E2FF42D-3D1C-4284-8237-766727873262}" uniqueName="1" name="days" queryTableFieldId="1"/>
    <tableColumn id="2" xr3:uid="{141CCA53-C8F6-40D1-9EDD-481031175B53}" uniqueName="2" name="teams" queryTableFieldId="2"/>
    <tableColumn id="3" xr3:uid="{F03A95B4-0CC2-4E2B-BA05-76A0E992BCDF}" uniqueName="3" name="fee" queryTableFieldId="3"/>
    <tableColumn id="4" xr3:uid="{B1944672-DBC0-44B7-9C5E-D800CF8EF066}" uniqueName="4" name="labor" queryTableFieldId="4"/>
    <tableColumn id="5" xr3:uid="{F0E79336-A1EA-40AB-8240-C7039FD00BCC}" uniqueName="5" name="materials" queryTableFieldId="5"/>
    <tableColumn id="6" xr3:uid="{90ADDB9F-1543-4BFE-B4B9-1BE12FC78F24}" uniqueName="6" name="combined" queryTableFieldId="6"/>
    <tableColumn id="7" xr3:uid="{E9D88B64-559F-4AC5-B88B-36F012420C80}" uniqueName="7" name="month" queryTableFieldId="7"/>
    <tableColumn id="8" xr3:uid="{86E3DDE4-8FD1-4687-A21A-30BA62FE5C85}" uniqueName="8" name="players" queryTableFieldId="8"/>
    <tableColumn id="9" xr3:uid="{0A021D8A-BA32-4637-92FD-5DE62D4C9DC9}" uniqueName="9" name="spending" queryTableFieldId="9"/>
    <tableColumn id="10" xr3:uid="{037F4348-5760-4616-B1CF-7B18067EFC47}" uniqueName="10" name="nonlocal" queryTableFieldId="10"/>
    <tableColumn id="11" xr3:uid="{7C3C0ECA-68CD-4768-AA20-7DB3606C0A52}" uniqueName="11" name="softball spending 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3960A9-DE13-4C9D-8734-6D981A487153}" name="Table5_2" displayName="Table5_2" ref="A1:J35" tableType="queryTable" totalsRowShown="0">
  <autoFilter ref="A1:J35" xr:uid="{A13960A9-DE13-4C9D-8734-6D981A487153}"/>
  <tableColumns count="10">
    <tableColumn id="1" xr3:uid="{FE8B977E-C070-449C-9784-6D716E2BA5CD}" uniqueName="1" name="days" queryTableFieldId="1"/>
    <tableColumn id="2" xr3:uid="{5DF56819-92BB-4381-B45D-890D64C4B696}" uniqueName="2" name="teams" queryTableFieldId="2"/>
    <tableColumn id="3" xr3:uid="{C5DAC71A-1CC6-40F1-9232-B3124CA5419F}" uniqueName="3" name="fee" queryTableFieldId="3"/>
    <tableColumn id="4" xr3:uid="{CB5CF726-DBA6-411D-AF8B-6F3C1D82421D}" uniqueName="4" name="labor" queryTableFieldId="4"/>
    <tableColumn id="5" xr3:uid="{1BFFD32A-28CF-483A-8267-34F0FE5230A7}" uniqueName="5" name="material" queryTableFieldId="5"/>
    <tableColumn id="6" xr3:uid="{DD1B3A1C-9E71-433D-955B-66BCB2054C4C}" uniqueName="6" name="combined" queryTableFieldId="6"/>
    <tableColumn id="7" xr3:uid="{C712A6CE-104A-4784-A7B0-D12A224DDA06}" uniqueName="7" name="month" queryTableFieldId="7"/>
    <tableColumn id="8" xr3:uid="{2B17B4AF-2CF0-4C7E-A226-7684A77B2FCD}" uniqueName="8" name="playes" queryTableFieldId="8"/>
    <tableColumn id="9" xr3:uid="{5E55E9FC-5FBC-438A-A5E8-F3612B57E009}" uniqueName="9" name="spending" queryTableFieldId="9"/>
    <tableColumn id="10" xr3:uid="{CB01DDE1-A4C2-4BC0-884D-628BCEA915D0}" uniqueName="10" name="nonlocal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663132-CDC1-4524-84B3-14D06CD0205A}" name="Table1" displayName="Table1" ref="A1:L36" totalsRowShown="0">
  <autoFilter ref="A1:L36" xr:uid="{CD663132-CDC1-4524-84B3-14D06CD0205A}"/>
  <tableColumns count="12">
    <tableColumn id="1" xr3:uid="{AA826F56-FA1B-48B7-911B-9E4AD230AD3E}" name="days"/>
    <tableColumn id="2" xr3:uid="{D3E4458D-7490-433F-B1D7-0706645E3A87}" name="teams"/>
    <tableColumn id="3" xr3:uid="{2BF6A604-5617-4D59-BB0A-7D0B0DAEDA54}" name="fee"/>
    <tableColumn id="4" xr3:uid="{3881C81D-70F4-4265-8E6C-C8F1075DC3B2}" name="labor"/>
    <tableColumn id="5" xr3:uid="{5E1F22C2-2BE2-4611-A296-E61142330434}" name="material"/>
    <tableColumn id="6" xr3:uid="{94B99BAE-D728-4022-B3FC-56AA36D3901B}" name="combined"/>
    <tableColumn id="7" xr3:uid="{F918943D-E343-4032-9FEB-915C46317C2E}" name="month"/>
    <tableColumn id="8" xr3:uid="{DB8E06DB-27E1-44BC-827A-8113291EF84C}" name="players">
      <calculatedColumnFormula>B2*21</calculatedColumnFormula>
    </tableColumn>
    <tableColumn id="9" xr3:uid="{4F16BC57-F824-4C33-8578-CECF10EF7637}" name="spending">
      <calculatedColumnFormula>A2*H2*206</calculatedColumnFormula>
    </tableColumn>
    <tableColumn id="10" xr3:uid="{A9658740-5CC2-463D-8846-6C86244F4F63}" name="nonlocal">
      <calculatedColumnFormula>I2*0.89</calculatedColumnFormula>
    </tableColumn>
    <tableColumn id="11" xr3:uid="{26EF4587-F9CC-4BD3-9892-6BFB794008E7}" name="Total Fees" dataDxfId="2">
      <calculatedColumnFormula>C2*B2</calculatedColumnFormula>
    </tableColumn>
    <tableColumn id="12" xr3:uid="{6756F827-5EC2-436B-907B-F64E5E373107}" name="Yea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9B5BCD-E548-4B67-9359-7BFE2110F8BB}" name="Table3" displayName="Table3" ref="A37:L66" totalsRowShown="0">
  <autoFilter ref="A37:L66" xr:uid="{BB9B5BCD-E548-4B67-9359-7BFE2110F8BB}"/>
  <tableColumns count="12">
    <tableColumn id="1" xr3:uid="{042DCD63-21FF-46C6-9DA5-F308EE3A2682}" name="days"/>
    <tableColumn id="2" xr3:uid="{A47CC8C5-98FF-4E8F-A581-739EAF463194}" name="teams"/>
    <tableColumn id="3" xr3:uid="{FA4474EF-8CC9-4EAE-AE2B-C7B66A4189AD}" name="fee"/>
    <tableColumn id="4" xr3:uid="{0E177DDC-386C-4F94-A336-01DE2C6960B6}" name="labor"/>
    <tableColumn id="5" xr3:uid="{1F36E59A-9CB8-4193-8C41-B7642823D652}" name="material"/>
    <tableColumn id="6" xr3:uid="{854A5FF6-A344-4FB3-BAC4-ACD117140003}" name="combined "/>
    <tableColumn id="7" xr3:uid="{E34C3A4B-7C4D-423D-89A3-7C628BEAAE38}" name="month"/>
    <tableColumn id="8" xr3:uid="{4C5DB7B8-4300-4D91-A5DF-FD6DEB3BC567}" name="players">
      <calculatedColumnFormula>B38*21</calculatedColumnFormula>
    </tableColumn>
    <tableColumn id="9" xr3:uid="{DBD09A0F-6CF7-457D-8435-CFFDF67CD8D5}" name="spending ">
      <calculatedColumnFormula>A38*H38*206</calculatedColumnFormula>
    </tableColumn>
    <tableColumn id="10" xr3:uid="{76ABD1EA-12A6-4E6D-A649-5223D5DF7821}" name="nonlocal ">
      <calculatedColumnFormula>I38*0.89</calculatedColumnFormula>
    </tableColumn>
    <tableColumn id="11" xr3:uid="{BDA3C3DF-FBD8-4AE1-91F8-0C5E72112023}" name="Total Fees" dataDxfId="1">
      <calculatedColumnFormula>C38*B38</calculatedColumnFormula>
    </tableColumn>
    <tableColumn id="12" xr3:uid="{8F5F54F6-DA59-4B11-8A17-32EEB6383179}" name="Yea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21D3164-3D63-42D2-8F69-9B4D113CC3D7}" name="Table5" displayName="Table5" ref="A67:L101" totalsRowShown="0">
  <autoFilter ref="A67:L101" xr:uid="{C21D3164-3D63-42D2-8F69-9B4D113CC3D7}"/>
  <tableColumns count="12">
    <tableColumn id="1" xr3:uid="{8466B920-0013-49B6-BA80-CDC1C1EFC68F}" name="days"/>
    <tableColumn id="2" xr3:uid="{D49C8875-2B5D-4A49-A7C6-75F541FD587E}" name="teams"/>
    <tableColumn id="3" xr3:uid="{5C63CA10-4E79-43D6-B205-B9F7733E6259}" name="fee"/>
    <tableColumn id="4" xr3:uid="{77EB5B8D-64F4-48EB-89CC-E0B23FBEFD9A}" name="labor"/>
    <tableColumn id="5" xr3:uid="{03818CC2-DD90-4BA1-A5EE-CC0223B7F420}" name="material"/>
    <tableColumn id="6" xr3:uid="{86C92F05-4D86-4024-B30E-2B962C1B697F}" name="combined"/>
    <tableColumn id="7" xr3:uid="{A73AC237-4EA7-425C-9FFE-7CF71F723FE9}" name="month"/>
    <tableColumn id="8" xr3:uid="{7182A3FF-D487-4BE9-BD95-7A88E1107FD8}" name="players">
      <calculatedColumnFormula>B68*21</calculatedColumnFormula>
    </tableColumn>
    <tableColumn id="9" xr3:uid="{B2CCD42E-D8CA-47FA-8859-1F9AEB7E8589}" name="spending ">
      <calculatedColumnFormula>A68*H68*206</calculatedColumnFormula>
    </tableColumn>
    <tableColumn id="10" xr3:uid="{A5E20E17-9165-419C-9A88-8C4EB0751309}" name="nonlocal">
      <calculatedColumnFormula>I68*0.89</calculatedColumnFormula>
    </tableColumn>
    <tableColumn id="11" xr3:uid="{2CD55C64-107F-4BC7-B386-72CDD99FBF76}" name="Total Fees" dataDxfId="0">
      <calculatedColumnFormula>C68*B68</calculatedColumnFormula>
    </tableColumn>
    <tableColumn id="12" xr3:uid="{E31D7644-E483-48AC-B024-1AACD82C3389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1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F123C-E7AD-45BB-B437-D3919D13D96E}">
  <dimension ref="A1:J36"/>
  <sheetViews>
    <sheetView workbookViewId="0">
      <selection activeCell="F14" sqref="F14"/>
    </sheetView>
  </sheetViews>
  <sheetFormatPr defaultRowHeight="14.5" x14ac:dyDescent="0.35"/>
  <cols>
    <col min="1" max="1" width="7.26953125" bestFit="1" customWidth="1"/>
    <col min="2" max="2" width="8.7265625" bestFit="1" customWidth="1"/>
    <col min="3" max="3" width="6.26953125" bestFit="1" customWidth="1"/>
    <col min="4" max="4" width="7.81640625" bestFit="1" customWidth="1"/>
    <col min="5" max="5" width="10.7265625" bestFit="1" customWidth="1"/>
    <col min="6" max="6" width="12.1796875" bestFit="1" customWidth="1"/>
    <col min="8" max="8" width="9.7265625" bestFit="1" customWidth="1"/>
    <col min="9" max="9" width="11.453125" bestFit="1" customWidth="1"/>
    <col min="10" max="10" width="10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2</v>
      </c>
      <c r="B2">
        <v>29</v>
      </c>
      <c r="C2">
        <v>820</v>
      </c>
      <c r="D2">
        <v>3106</v>
      </c>
      <c r="E2">
        <v>369</v>
      </c>
      <c r="F2">
        <v>3475</v>
      </c>
      <c r="G2">
        <v>3</v>
      </c>
      <c r="H2">
        <v>609</v>
      </c>
      <c r="I2">
        <v>250908</v>
      </c>
      <c r="J2">
        <v>223308.12</v>
      </c>
    </row>
    <row r="3" spans="1:10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0</v>
      </c>
      <c r="I3">
        <v>0</v>
      </c>
      <c r="J3">
        <v>0</v>
      </c>
    </row>
    <row r="4" spans="1:10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0</v>
      </c>
      <c r="I4">
        <v>0</v>
      </c>
      <c r="J4">
        <v>0</v>
      </c>
    </row>
    <row r="5" spans="1:10" x14ac:dyDescent="0.35">
      <c r="A5">
        <v>1</v>
      </c>
      <c r="B5">
        <v>20</v>
      </c>
      <c r="C5">
        <v>600</v>
      </c>
      <c r="D5">
        <v>1326</v>
      </c>
      <c r="E5">
        <v>219</v>
      </c>
      <c r="F5">
        <v>1545</v>
      </c>
      <c r="G5">
        <v>3</v>
      </c>
      <c r="H5">
        <v>420</v>
      </c>
      <c r="I5">
        <v>86520</v>
      </c>
      <c r="J5">
        <v>77002.8</v>
      </c>
    </row>
    <row r="6" spans="1:10" x14ac:dyDescent="0.35">
      <c r="A6">
        <v>2</v>
      </c>
      <c r="B6">
        <v>26</v>
      </c>
      <c r="C6">
        <v>900</v>
      </c>
      <c r="D6">
        <v>3106</v>
      </c>
      <c r="E6">
        <v>369</v>
      </c>
      <c r="F6">
        <v>3475</v>
      </c>
      <c r="G6">
        <v>4</v>
      </c>
      <c r="H6">
        <v>546</v>
      </c>
      <c r="I6">
        <v>224952</v>
      </c>
      <c r="J6">
        <v>200207.28</v>
      </c>
    </row>
    <row r="7" spans="1:10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4</v>
      </c>
      <c r="H7">
        <v>0</v>
      </c>
      <c r="I7">
        <v>0</v>
      </c>
      <c r="J7">
        <v>0</v>
      </c>
    </row>
    <row r="8" spans="1:10" x14ac:dyDescent="0.35">
      <c r="A8">
        <v>1</v>
      </c>
      <c r="B8">
        <v>23</v>
      </c>
      <c r="C8">
        <v>600</v>
      </c>
      <c r="D8">
        <v>1326</v>
      </c>
      <c r="E8">
        <v>219</v>
      </c>
      <c r="F8">
        <v>1545</v>
      </c>
      <c r="G8">
        <v>4</v>
      </c>
      <c r="H8">
        <v>483</v>
      </c>
      <c r="I8">
        <v>99498</v>
      </c>
      <c r="J8">
        <v>88553.22</v>
      </c>
    </row>
    <row r="9" spans="1:10" x14ac:dyDescent="0.35">
      <c r="A9">
        <v>2</v>
      </c>
      <c r="B9">
        <v>36</v>
      </c>
      <c r="C9">
        <v>870</v>
      </c>
      <c r="D9">
        <v>3106</v>
      </c>
      <c r="E9">
        <v>369</v>
      </c>
      <c r="F9">
        <v>3475</v>
      </c>
      <c r="G9">
        <v>4</v>
      </c>
      <c r="H9">
        <v>756</v>
      </c>
      <c r="I9">
        <v>311472</v>
      </c>
      <c r="J9">
        <v>277210.08</v>
      </c>
    </row>
    <row r="10" spans="1:10" x14ac:dyDescent="0.35">
      <c r="A10">
        <v>2</v>
      </c>
      <c r="B10">
        <v>32</v>
      </c>
      <c r="C10">
        <v>900</v>
      </c>
      <c r="D10">
        <v>3106</v>
      </c>
      <c r="E10">
        <v>369</v>
      </c>
      <c r="F10">
        <v>3475</v>
      </c>
      <c r="G10">
        <v>4</v>
      </c>
      <c r="H10">
        <v>672</v>
      </c>
      <c r="I10">
        <v>276864</v>
      </c>
      <c r="J10">
        <v>246408.95999999999</v>
      </c>
    </row>
    <row r="11" spans="1:10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5</v>
      </c>
      <c r="H11">
        <v>0</v>
      </c>
      <c r="I11">
        <v>0</v>
      </c>
      <c r="J11">
        <v>0</v>
      </c>
    </row>
    <row r="12" spans="1:10" x14ac:dyDescent="0.35">
      <c r="A12">
        <v>1</v>
      </c>
      <c r="B12">
        <v>28</v>
      </c>
      <c r="C12">
        <v>600</v>
      </c>
      <c r="D12">
        <v>1326</v>
      </c>
      <c r="E12">
        <v>219</v>
      </c>
      <c r="F12">
        <v>1545</v>
      </c>
      <c r="G12">
        <v>5</v>
      </c>
      <c r="H12">
        <v>588</v>
      </c>
      <c r="I12">
        <v>121128</v>
      </c>
      <c r="J12">
        <v>107803.92</v>
      </c>
    </row>
    <row r="13" spans="1:10" x14ac:dyDescent="0.35">
      <c r="A13">
        <v>2</v>
      </c>
      <c r="B13">
        <v>22</v>
      </c>
      <c r="C13">
        <v>450</v>
      </c>
      <c r="D13">
        <v>3106</v>
      </c>
      <c r="E13">
        <v>369</v>
      </c>
      <c r="F13">
        <v>3475</v>
      </c>
      <c r="G13">
        <v>5</v>
      </c>
      <c r="H13">
        <v>462</v>
      </c>
      <c r="I13">
        <v>190344</v>
      </c>
      <c r="J13">
        <v>169406.16</v>
      </c>
    </row>
    <row r="14" spans="1:10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5</v>
      </c>
      <c r="H14">
        <v>0</v>
      </c>
      <c r="I14">
        <v>0</v>
      </c>
      <c r="J14">
        <v>0</v>
      </c>
    </row>
    <row r="15" spans="1:10" x14ac:dyDescent="0.35">
      <c r="A15">
        <v>2</v>
      </c>
      <c r="B15">
        <v>28</v>
      </c>
      <c r="C15">
        <v>600</v>
      </c>
      <c r="D15">
        <v>3106</v>
      </c>
      <c r="E15">
        <v>369</v>
      </c>
      <c r="F15">
        <v>3475</v>
      </c>
      <c r="G15">
        <v>6</v>
      </c>
      <c r="H15">
        <v>588</v>
      </c>
      <c r="I15">
        <v>242256</v>
      </c>
      <c r="J15">
        <v>215607.84</v>
      </c>
    </row>
    <row r="16" spans="1:10" x14ac:dyDescent="0.35">
      <c r="A16">
        <v>2</v>
      </c>
      <c r="B16">
        <v>22</v>
      </c>
      <c r="C16">
        <v>870</v>
      </c>
      <c r="D16">
        <v>3106</v>
      </c>
      <c r="E16">
        <v>369</v>
      </c>
      <c r="F16">
        <v>3475</v>
      </c>
      <c r="G16">
        <v>6</v>
      </c>
      <c r="H16">
        <v>462</v>
      </c>
      <c r="I16">
        <v>190344</v>
      </c>
      <c r="J16">
        <v>169406.16</v>
      </c>
    </row>
    <row r="17" spans="1:10" x14ac:dyDescent="0.35">
      <c r="A17">
        <v>3</v>
      </c>
      <c r="B17">
        <v>24</v>
      </c>
      <c r="C17">
        <v>1000</v>
      </c>
      <c r="D17">
        <v>5482</v>
      </c>
      <c r="E17">
        <v>575</v>
      </c>
      <c r="F17">
        <v>6057</v>
      </c>
      <c r="G17">
        <v>6</v>
      </c>
      <c r="H17">
        <v>504</v>
      </c>
      <c r="I17">
        <v>311472</v>
      </c>
      <c r="J17">
        <v>277210.08</v>
      </c>
    </row>
    <row r="18" spans="1:10" x14ac:dyDescent="0.35">
      <c r="A18">
        <v>1</v>
      </c>
      <c r="B18">
        <v>29</v>
      </c>
      <c r="C18">
        <v>600</v>
      </c>
      <c r="D18">
        <v>1326</v>
      </c>
      <c r="E18">
        <v>219</v>
      </c>
      <c r="F18">
        <v>1545</v>
      </c>
      <c r="G18">
        <v>6</v>
      </c>
      <c r="H18">
        <v>609</v>
      </c>
      <c r="I18">
        <v>125454</v>
      </c>
      <c r="J18">
        <v>111654.06</v>
      </c>
    </row>
    <row r="19" spans="1:10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7</v>
      </c>
      <c r="H19">
        <v>0</v>
      </c>
      <c r="I19">
        <v>0</v>
      </c>
      <c r="J19">
        <v>0</v>
      </c>
    </row>
    <row r="20" spans="1:10" x14ac:dyDescent="0.35">
      <c r="A20">
        <v>3</v>
      </c>
      <c r="B20">
        <v>26</v>
      </c>
      <c r="C20">
        <v>870</v>
      </c>
      <c r="D20">
        <v>5482</v>
      </c>
      <c r="E20">
        <v>575</v>
      </c>
      <c r="F20">
        <v>6057</v>
      </c>
      <c r="G20">
        <v>7</v>
      </c>
      <c r="H20">
        <v>546</v>
      </c>
      <c r="I20">
        <v>337428</v>
      </c>
      <c r="J20">
        <v>300310.92</v>
      </c>
    </row>
    <row r="21" spans="1:10" x14ac:dyDescent="0.35">
      <c r="A21">
        <v>2</v>
      </c>
      <c r="B21">
        <v>26</v>
      </c>
      <c r="C21">
        <v>1050</v>
      </c>
      <c r="D21">
        <v>3106</v>
      </c>
      <c r="E21">
        <v>369</v>
      </c>
      <c r="F21">
        <v>3475</v>
      </c>
      <c r="G21">
        <v>7</v>
      </c>
      <c r="H21">
        <v>546</v>
      </c>
      <c r="I21">
        <v>224952</v>
      </c>
      <c r="J21">
        <v>200207.28</v>
      </c>
    </row>
    <row r="22" spans="1:10" x14ac:dyDescent="0.35">
      <c r="A22">
        <v>4</v>
      </c>
      <c r="B22">
        <v>43</v>
      </c>
      <c r="C22">
        <v>1000</v>
      </c>
      <c r="D22">
        <v>7000</v>
      </c>
      <c r="E22">
        <v>700</v>
      </c>
      <c r="F22">
        <v>7700</v>
      </c>
      <c r="G22">
        <v>7</v>
      </c>
      <c r="H22">
        <v>903</v>
      </c>
      <c r="I22">
        <v>744072</v>
      </c>
      <c r="J22">
        <v>662224.07999999996</v>
      </c>
    </row>
    <row r="23" spans="1:10" x14ac:dyDescent="0.35">
      <c r="A23">
        <v>1</v>
      </c>
      <c r="B23">
        <v>28</v>
      </c>
      <c r="C23">
        <v>600</v>
      </c>
      <c r="D23">
        <v>1326</v>
      </c>
      <c r="E23">
        <v>219</v>
      </c>
      <c r="F23">
        <v>1545</v>
      </c>
      <c r="G23">
        <v>8</v>
      </c>
      <c r="H23">
        <v>588</v>
      </c>
      <c r="I23">
        <v>121128</v>
      </c>
      <c r="J23">
        <v>107803.92</v>
      </c>
    </row>
    <row r="24" spans="1:10" x14ac:dyDescent="0.35">
      <c r="A24">
        <v>1</v>
      </c>
      <c r="B24">
        <v>19</v>
      </c>
      <c r="C24">
        <v>400</v>
      </c>
      <c r="D24">
        <v>1326</v>
      </c>
      <c r="E24">
        <v>219</v>
      </c>
      <c r="F24">
        <v>1545</v>
      </c>
      <c r="G24">
        <v>8</v>
      </c>
      <c r="H24">
        <v>399</v>
      </c>
      <c r="I24">
        <v>82194</v>
      </c>
      <c r="J24">
        <v>73152.66</v>
      </c>
    </row>
    <row r="25" spans="1:10" x14ac:dyDescent="0.35">
      <c r="A25">
        <v>2</v>
      </c>
      <c r="B25">
        <v>16</v>
      </c>
      <c r="C25">
        <v>870</v>
      </c>
      <c r="D25">
        <v>3106</v>
      </c>
      <c r="E25">
        <v>369</v>
      </c>
      <c r="F25">
        <v>3475</v>
      </c>
      <c r="G25">
        <v>8</v>
      </c>
      <c r="H25">
        <v>336</v>
      </c>
      <c r="I25">
        <v>138432</v>
      </c>
      <c r="J25">
        <v>123204.48</v>
      </c>
    </row>
    <row r="26" spans="1:10" x14ac:dyDescent="0.35">
      <c r="A26">
        <v>1</v>
      </c>
      <c r="B26">
        <v>20</v>
      </c>
      <c r="C26">
        <v>600</v>
      </c>
      <c r="D26">
        <v>1326</v>
      </c>
      <c r="E26">
        <v>219</v>
      </c>
      <c r="F26">
        <v>1545</v>
      </c>
      <c r="G26">
        <v>8</v>
      </c>
      <c r="H26">
        <v>420</v>
      </c>
      <c r="I26">
        <v>86520</v>
      </c>
      <c r="J26">
        <v>77002.8</v>
      </c>
    </row>
    <row r="27" spans="1:10" x14ac:dyDescent="0.35">
      <c r="A27">
        <v>2</v>
      </c>
      <c r="B27">
        <v>12</v>
      </c>
      <c r="C27">
        <v>870</v>
      </c>
      <c r="D27">
        <v>3106</v>
      </c>
      <c r="E27">
        <v>369</v>
      </c>
      <c r="F27">
        <v>3475</v>
      </c>
      <c r="G27">
        <v>8</v>
      </c>
      <c r="H27">
        <v>252</v>
      </c>
      <c r="I27">
        <v>103824</v>
      </c>
      <c r="J27">
        <v>92403.36</v>
      </c>
    </row>
    <row r="28" spans="1:10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9</v>
      </c>
      <c r="H28">
        <v>0</v>
      </c>
      <c r="I28">
        <v>0</v>
      </c>
      <c r="J28">
        <v>0</v>
      </c>
    </row>
    <row r="29" spans="1:10" x14ac:dyDescent="0.35">
      <c r="A29">
        <v>1</v>
      </c>
      <c r="B29">
        <v>33</v>
      </c>
      <c r="C29">
        <v>600</v>
      </c>
      <c r="D29">
        <v>1326</v>
      </c>
      <c r="E29">
        <v>219</v>
      </c>
      <c r="F29">
        <v>1545</v>
      </c>
      <c r="G29">
        <v>9</v>
      </c>
      <c r="H29">
        <v>693</v>
      </c>
      <c r="I29">
        <v>142065</v>
      </c>
      <c r="J29">
        <v>126437.85</v>
      </c>
    </row>
    <row r="30" spans="1:10" x14ac:dyDescent="0.35">
      <c r="A30">
        <v>1</v>
      </c>
      <c r="B30">
        <v>31</v>
      </c>
      <c r="C30">
        <v>670</v>
      </c>
      <c r="D30">
        <v>1326</v>
      </c>
      <c r="E30">
        <v>219</v>
      </c>
      <c r="F30">
        <v>1545</v>
      </c>
      <c r="G30">
        <v>9</v>
      </c>
      <c r="H30">
        <v>651</v>
      </c>
      <c r="I30">
        <v>134106</v>
      </c>
      <c r="J30">
        <v>119354.34</v>
      </c>
    </row>
    <row r="31" spans="1:10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10</v>
      </c>
      <c r="H31">
        <v>0</v>
      </c>
      <c r="I31">
        <v>0</v>
      </c>
      <c r="J31">
        <v>0</v>
      </c>
    </row>
    <row r="32" spans="1:10" x14ac:dyDescent="0.35">
      <c r="A32">
        <v>1</v>
      </c>
      <c r="B32">
        <v>19</v>
      </c>
      <c r="C32">
        <v>600</v>
      </c>
      <c r="D32">
        <v>1326</v>
      </c>
      <c r="E32">
        <v>219</v>
      </c>
      <c r="F32">
        <v>1545</v>
      </c>
      <c r="G32">
        <v>10</v>
      </c>
      <c r="H32">
        <v>399</v>
      </c>
      <c r="I32">
        <v>82194</v>
      </c>
      <c r="J32">
        <v>73152.66</v>
      </c>
    </row>
    <row r="33" spans="1:10" x14ac:dyDescent="0.35">
      <c r="A33">
        <v>1</v>
      </c>
      <c r="B33">
        <v>29</v>
      </c>
      <c r="C33">
        <v>600</v>
      </c>
      <c r="D33">
        <v>1326</v>
      </c>
      <c r="E33">
        <v>219</v>
      </c>
      <c r="F33">
        <v>1545</v>
      </c>
      <c r="G33">
        <v>10</v>
      </c>
      <c r="H33">
        <v>609</v>
      </c>
      <c r="I33">
        <v>125454</v>
      </c>
      <c r="J33">
        <v>111654.06</v>
      </c>
    </row>
    <row r="34" spans="1:10" x14ac:dyDescent="0.35">
      <c r="A34">
        <v>1</v>
      </c>
      <c r="B34">
        <v>18</v>
      </c>
      <c r="C34">
        <v>600</v>
      </c>
      <c r="D34">
        <v>1326</v>
      </c>
      <c r="E34">
        <v>219</v>
      </c>
      <c r="F34">
        <v>1545</v>
      </c>
      <c r="G34">
        <v>10</v>
      </c>
      <c r="H34">
        <v>378</v>
      </c>
      <c r="I34">
        <v>77868</v>
      </c>
      <c r="J34">
        <v>69302.52</v>
      </c>
    </row>
    <row r="35" spans="1:10" x14ac:dyDescent="0.35">
      <c r="A35">
        <v>1</v>
      </c>
      <c r="B35">
        <v>18</v>
      </c>
      <c r="C35">
        <v>600</v>
      </c>
      <c r="D35">
        <v>1326</v>
      </c>
      <c r="E35">
        <v>219</v>
      </c>
      <c r="F35">
        <v>1545</v>
      </c>
      <c r="G35">
        <v>11</v>
      </c>
      <c r="H35">
        <v>378</v>
      </c>
      <c r="I35">
        <v>77868</v>
      </c>
      <c r="J35">
        <v>69302.52</v>
      </c>
    </row>
    <row r="36" spans="1:10" x14ac:dyDescent="0.35">
      <c r="A36">
        <v>1</v>
      </c>
      <c r="B36">
        <v>16</v>
      </c>
      <c r="C36">
        <v>600</v>
      </c>
      <c r="D36">
        <v>1326</v>
      </c>
      <c r="E36">
        <v>219</v>
      </c>
      <c r="F36">
        <v>1545</v>
      </c>
      <c r="G36">
        <v>11</v>
      </c>
      <c r="H36">
        <v>336</v>
      </c>
      <c r="I36">
        <v>69216</v>
      </c>
      <c r="J36">
        <v>61602.239999999998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9EC07-4B1E-4332-94A9-334093213F22}">
  <dimension ref="A1:K30"/>
  <sheetViews>
    <sheetView workbookViewId="0">
      <selection activeCell="K12" sqref="K12"/>
    </sheetView>
  </sheetViews>
  <sheetFormatPr defaultRowHeight="14.5" x14ac:dyDescent="0.35"/>
  <cols>
    <col min="1" max="9" width="11.1796875" bestFit="1" customWidth="1"/>
    <col min="10" max="10" width="12.1796875" bestFit="1" customWidth="1"/>
    <col min="11" max="11" width="17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</v>
      </c>
    </row>
    <row r="2" spans="1:11" x14ac:dyDescent="0.35">
      <c r="A2">
        <v>2</v>
      </c>
      <c r="B2">
        <v>9</v>
      </c>
      <c r="C2">
        <v>870</v>
      </c>
      <c r="D2">
        <v>3106</v>
      </c>
      <c r="E2">
        <v>369</v>
      </c>
      <c r="F2">
        <v>3475</v>
      </c>
      <c r="G2">
        <v>3</v>
      </c>
      <c r="H2">
        <v>189</v>
      </c>
      <c r="I2">
        <v>77868</v>
      </c>
      <c r="J2">
        <v>69302.52</v>
      </c>
      <c r="K2">
        <v>0</v>
      </c>
    </row>
    <row r="3" spans="1:11" x14ac:dyDescent="0.35">
      <c r="A3">
        <v>2</v>
      </c>
      <c r="B3">
        <v>9</v>
      </c>
      <c r="C3">
        <v>700</v>
      </c>
      <c r="D3">
        <v>3106</v>
      </c>
      <c r="E3">
        <v>369</v>
      </c>
      <c r="F3">
        <v>3475</v>
      </c>
      <c r="G3">
        <v>3</v>
      </c>
      <c r="H3">
        <v>189</v>
      </c>
      <c r="I3">
        <v>77868</v>
      </c>
      <c r="J3">
        <v>69302.52</v>
      </c>
      <c r="K3">
        <v>0</v>
      </c>
    </row>
    <row r="4" spans="1:11" x14ac:dyDescent="0.35">
      <c r="A4">
        <v>2</v>
      </c>
      <c r="B4">
        <v>9</v>
      </c>
      <c r="C4">
        <v>500</v>
      </c>
      <c r="D4">
        <v>3106</v>
      </c>
      <c r="E4">
        <v>369</v>
      </c>
      <c r="F4">
        <v>3475</v>
      </c>
      <c r="G4">
        <v>3</v>
      </c>
      <c r="H4">
        <v>189</v>
      </c>
      <c r="I4">
        <v>77868</v>
      </c>
      <c r="J4">
        <v>69302.52</v>
      </c>
      <c r="K4">
        <v>0</v>
      </c>
    </row>
    <row r="5" spans="1:11" x14ac:dyDescent="0.35">
      <c r="A5">
        <v>1</v>
      </c>
      <c r="B5">
        <v>24</v>
      </c>
      <c r="C5">
        <v>1029</v>
      </c>
      <c r="D5">
        <v>1326</v>
      </c>
      <c r="E5">
        <v>219</v>
      </c>
      <c r="F5">
        <v>1545</v>
      </c>
      <c r="G5">
        <v>3</v>
      </c>
      <c r="H5">
        <v>504</v>
      </c>
      <c r="I5">
        <v>103824</v>
      </c>
      <c r="J5">
        <v>92403.36</v>
      </c>
      <c r="K5">
        <v>0</v>
      </c>
    </row>
    <row r="6" spans="1:11" x14ac:dyDescent="0.35">
      <c r="A6">
        <v>2</v>
      </c>
      <c r="B6">
        <v>23</v>
      </c>
      <c r="C6">
        <v>1130</v>
      </c>
      <c r="D6">
        <v>3106</v>
      </c>
      <c r="E6">
        <v>369</v>
      </c>
      <c r="F6">
        <v>3475</v>
      </c>
      <c r="G6">
        <v>4</v>
      </c>
      <c r="H6">
        <v>483</v>
      </c>
      <c r="I6">
        <v>198996</v>
      </c>
      <c r="J6">
        <v>177106.44</v>
      </c>
      <c r="K6">
        <v>0</v>
      </c>
    </row>
    <row r="7" spans="1:11" x14ac:dyDescent="0.35">
      <c r="A7">
        <v>1</v>
      </c>
      <c r="B7">
        <v>22</v>
      </c>
      <c r="C7">
        <v>500</v>
      </c>
      <c r="D7">
        <v>1326</v>
      </c>
      <c r="E7">
        <v>219</v>
      </c>
      <c r="F7">
        <v>1545</v>
      </c>
      <c r="G7">
        <v>4</v>
      </c>
      <c r="H7">
        <v>462</v>
      </c>
      <c r="I7">
        <v>95172</v>
      </c>
      <c r="J7">
        <v>84703.08</v>
      </c>
      <c r="K7">
        <v>0</v>
      </c>
    </row>
    <row r="8" spans="1:11" x14ac:dyDescent="0.35">
      <c r="A8">
        <v>2</v>
      </c>
      <c r="B8">
        <v>26</v>
      </c>
      <c r="C8">
        <v>1273</v>
      </c>
      <c r="D8">
        <v>3106</v>
      </c>
      <c r="E8">
        <v>369</v>
      </c>
      <c r="F8">
        <v>3475</v>
      </c>
      <c r="G8">
        <v>4</v>
      </c>
      <c r="H8">
        <v>546</v>
      </c>
      <c r="I8">
        <v>224952</v>
      </c>
      <c r="J8">
        <v>200207.28</v>
      </c>
      <c r="K8">
        <v>0</v>
      </c>
    </row>
    <row r="9" spans="1:11" x14ac:dyDescent="0.35">
      <c r="A9">
        <v>2</v>
      </c>
      <c r="B9">
        <v>34</v>
      </c>
      <c r="C9">
        <v>650</v>
      </c>
      <c r="D9">
        <v>3106</v>
      </c>
      <c r="E9">
        <v>369</v>
      </c>
      <c r="F9">
        <v>3475</v>
      </c>
      <c r="G9">
        <v>4</v>
      </c>
      <c r="H9">
        <v>714</v>
      </c>
      <c r="I9">
        <v>294168</v>
      </c>
      <c r="J9">
        <v>261809.52</v>
      </c>
      <c r="K9">
        <v>0</v>
      </c>
    </row>
    <row r="10" spans="1:11" x14ac:dyDescent="0.35">
      <c r="A10">
        <v>1</v>
      </c>
      <c r="B10">
        <v>22</v>
      </c>
      <c r="C10">
        <v>600</v>
      </c>
      <c r="D10">
        <v>1326</v>
      </c>
      <c r="E10">
        <v>219</v>
      </c>
      <c r="F10">
        <v>1545</v>
      </c>
      <c r="G10">
        <v>5</v>
      </c>
      <c r="H10">
        <v>462</v>
      </c>
      <c r="I10">
        <v>95172</v>
      </c>
      <c r="J10">
        <v>84703.08</v>
      </c>
      <c r="K10">
        <v>0</v>
      </c>
    </row>
    <row r="11" spans="1:11" x14ac:dyDescent="0.35">
      <c r="A11">
        <v>1</v>
      </c>
      <c r="B11">
        <v>23</v>
      </c>
      <c r="C11">
        <v>600</v>
      </c>
      <c r="D11">
        <v>1326</v>
      </c>
      <c r="E11">
        <v>219</v>
      </c>
      <c r="F11">
        <v>1545</v>
      </c>
      <c r="G11">
        <v>5</v>
      </c>
      <c r="H11">
        <v>483</v>
      </c>
      <c r="I11">
        <v>99498</v>
      </c>
      <c r="J11">
        <v>88553.22</v>
      </c>
      <c r="K11">
        <v>0</v>
      </c>
    </row>
    <row r="12" spans="1:11" x14ac:dyDescent="0.35">
      <c r="A12">
        <v>2</v>
      </c>
      <c r="B12">
        <v>21</v>
      </c>
      <c r="C12">
        <v>350</v>
      </c>
      <c r="D12">
        <v>3106</v>
      </c>
      <c r="E12">
        <v>369</v>
      </c>
      <c r="F12">
        <v>3475</v>
      </c>
      <c r="G12">
        <v>5</v>
      </c>
      <c r="H12">
        <v>441</v>
      </c>
      <c r="I12">
        <v>181692</v>
      </c>
      <c r="J12">
        <v>161705.88</v>
      </c>
    </row>
    <row r="13" spans="1:11" x14ac:dyDescent="0.35">
      <c r="A13">
        <v>1</v>
      </c>
      <c r="B13">
        <v>26</v>
      </c>
      <c r="C13">
        <v>600</v>
      </c>
      <c r="D13">
        <v>1326</v>
      </c>
      <c r="E13">
        <v>219</v>
      </c>
      <c r="F13">
        <v>1545</v>
      </c>
      <c r="G13">
        <v>5</v>
      </c>
      <c r="H13">
        <v>546</v>
      </c>
      <c r="I13">
        <v>112476</v>
      </c>
      <c r="J13">
        <v>100103.64</v>
      </c>
    </row>
    <row r="14" spans="1:11" x14ac:dyDescent="0.35">
      <c r="A14">
        <v>1</v>
      </c>
      <c r="B14">
        <v>24</v>
      </c>
      <c r="C14">
        <v>600</v>
      </c>
      <c r="D14">
        <v>1326</v>
      </c>
      <c r="E14">
        <v>219</v>
      </c>
      <c r="F14">
        <v>1545</v>
      </c>
      <c r="G14">
        <v>6</v>
      </c>
      <c r="H14">
        <v>504</v>
      </c>
      <c r="I14">
        <v>103824</v>
      </c>
      <c r="J14">
        <v>92403.36</v>
      </c>
    </row>
    <row r="15" spans="1:11" x14ac:dyDescent="0.35">
      <c r="A15">
        <v>2</v>
      </c>
      <c r="B15">
        <v>23</v>
      </c>
      <c r="C15">
        <v>780</v>
      </c>
      <c r="D15">
        <v>3106</v>
      </c>
      <c r="E15">
        <v>369</v>
      </c>
      <c r="F15">
        <v>3475</v>
      </c>
      <c r="G15">
        <v>6</v>
      </c>
      <c r="H15">
        <v>483</v>
      </c>
      <c r="I15">
        <v>198996</v>
      </c>
      <c r="J15">
        <v>177106.44</v>
      </c>
    </row>
    <row r="16" spans="1:11" x14ac:dyDescent="0.35">
      <c r="A16">
        <v>2</v>
      </c>
      <c r="B16">
        <v>16</v>
      </c>
      <c r="C16">
        <v>870</v>
      </c>
      <c r="D16">
        <v>3106</v>
      </c>
      <c r="E16">
        <v>369</v>
      </c>
      <c r="F16">
        <v>3475</v>
      </c>
      <c r="G16">
        <v>6</v>
      </c>
      <c r="H16">
        <v>336</v>
      </c>
      <c r="I16">
        <v>138432</v>
      </c>
      <c r="J16">
        <v>123204.48</v>
      </c>
    </row>
    <row r="17" spans="1:10" x14ac:dyDescent="0.35">
      <c r="A17">
        <v>2</v>
      </c>
      <c r="B17">
        <v>18</v>
      </c>
      <c r="C17">
        <v>730</v>
      </c>
      <c r="D17">
        <v>3106</v>
      </c>
      <c r="E17">
        <v>369</v>
      </c>
      <c r="F17">
        <v>3475</v>
      </c>
      <c r="G17">
        <v>7</v>
      </c>
      <c r="H17">
        <v>378</v>
      </c>
      <c r="I17">
        <v>155736</v>
      </c>
      <c r="J17">
        <v>138605.04</v>
      </c>
    </row>
    <row r="18" spans="1:10" x14ac:dyDescent="0.35">
      <c r="A18">
        <v>2</v>
      </c>
      <c r="B18">
        <v>21</v>
      </c>
      <c r="C18">
        <v>1100</v>
      </c>
      <c r="D18">
        <v>3106</v>
      </c>
      <c r="E18">
        <v>369</v>
      </c>
      <c r="F18">
        <v>3475</v>
      </c>
      <c r="G18">
        <v>7</v>
      </c>
      <c r="H18">
        <v>441</v>
      </c>
      <c r="I18">
        <v>181692</v>
      </c>
      <c r="J18">
        <v>161705.88</v>
      </c>
    </row>
    <row r="19" spans="1:10" x14ac:dyDescent="0.35">
      <c r="A19">
        <v>5</v>
      </c>
      <c r="B19">
        <v>22</v>
      </c>
      <c r="C19">
        <v>1100</v>
      </c>
      <c r="D19">
        <v>3106</v>
      </c>
      <c r="E19">
        <v>369</v>
      </c>
      <c r="F19">
        <v>3475</v>
      </c>
      <c r="G19">
        <v>7</v>
      </c>
      <c r="H19">
        <f>B19*15</f>
        <v>330</v>
      </c>
      <c r="I19">
        <f>H19*A19*206</f>
        <v>339900</v>
      </c>
      <c r="J19">
        <f>I19*0.89</f>
        <v>302511</v>
      </c>
    </row>
    <row r="20" spans="1:10" x14ac:dyDescent="0.35">
      <c r="A20">
        <v>1</v>
      </c>
      <c r="B20">
        <v>19</v>
      </c>
      <c r="C20">
        <v>880</v>
      </c>
      <c r="D20">
        <v>1326</v>
      </c>
      <c r="E20">
        <v>219</v>
      </c>
      <c r="F20">
        <v>1545</v>
      </c>
      <c r="G20">
        <v>8</v>
      </c>
      <c r="H20">
        <v>399</v>
      </c>
      <c r="I20">
        <f>H20*A20*206</f>
        <v>82194</v>
      </c>
      <c r="J20">
        <f>I20*0.89</f>
        <v>73152.66</v>
      </c>
    </row>
    <row r="21" spans="1:10" x14ac:dyDescent="0.35">
      <c r="A21">
        <v>1</v>
      </c>
      <c r="B21">
        <v>17</v>
      </c>
      <c r="C21">
        <v>800</v>
      </c>
      <c r="D21">
        <v>1326</v>
      </c>
      <c r="E21">
        <v>219</v>
      </c>
      <c r="F21">
        <v>1545</v>
      </c>
      <c r="G21">
        <v>8</v>
      </c>
      <c r="H21">
        <v>357</v>
      </c>
      <c r="I21">
        <v>73542</v>
      </c>
      <c r="J21">
        <v>65452.38</v>
      </c>
    </row>
    <row r="22" spans="1:10" x14ac:dyDescent="0.35">
      <c r="A22">
        <v>2</v>
      </c>
      <c r="B22">
        <v>23</v>
      </c>
      <c r="C22">
        <v>870</v>
      </c>
      <c r="D22">
        <v>3106</v>
      </c>
      <c r="E22">
        <v>369</v>
      </c>
      <c r="F22">
        <v>3475</v>
      </c>
      <c r="G22">
        <v>8</v>
      </c>
      <c r="H22">
        <v>483</v>
      </c>
      <c r="I22">
        <v>198996</v>
      </c>
      <c r="J22">
        <v>177106.44</v>
      </c>
    </row>
    <row r="23" spans="1:10" x14ac:dyDescent="0.35">
      <c r="A23">
        <v>1</v>
      </c>
      <c r="B23">
        <v>28</v>
      </c>
      <c r="C23">
        <v>600</v>
      </c>
      <c r="D23">
        <v>1326</v>
      </c>
      <c r="E23">
        <v>219</v>
      </c>
      <c r="F23">
        <v>1545</v>
      </c>
      <c r="G23">
        <v>8</v>
      </c>
      <c r="H23">
        <v>588</v>
      </c>
      <c r="I23">
        <v>121128</v>
      </c>
      <c r="J23">
        <v>107803.92</v>
      </c>
    </row>
    <row r="24" spans="1:10" x14ac:dyDescent="0.35">
      <c r="A24">
        <v>2</v>
      </c>
      <c r="B24">
        <v>25</v>
      </c>
      <c r="C24">
        <v>870</v>
      </c>
      <c r="D24">
        <v>3106</v>
      </c>
      <c r="E24">
        <v>369</v>
      </c>
      <c r="F24">
        <v>3475</v>
      </c>
      <c r="G24">
        <v>9</v>
      </c>
      <c r="H24">
        <v>525</v>
      </c>
      <c r="I24">
        <v>216300</v>
      </c>
      <c r="J24">
        <v>192507</v>
      </c>
    </row>
    <row r="25" spans="1:10" x14ac:dyDescent="0.35">
      <c r="A25">
        <v>2</v>
      </c>
      <c r="B25">
        <v>21</v>
      </c>
      <c r="C25">
        <v>770</v>
      </c>
      <c r="D25">
        <v>3106</v>
      </c>
      <c r="E25">
        <v>369</v>
      </c>
      <c r="F25">
        <v>3475</v>
      </c>
      <c r="G25">
        <v>9</v>
      </c>
      <c r="H25">
        <v>441</v>
      </c>
      <c r="I25">
        <v>181692</v>
      </c>
      <c r="J25">
        <v>161705.88</v>
      </c>
    </row>
    <row r="26" spans="1:10" x14ac:dyDescent="0.35">
      <c r="A26">
        <v>1</v>
      </c>
      <c r="B26">
        <v>18</v>
      </c>
      <c r="C26">
        <v>480</v>
      </c>
      <c r="D26">
        <v>1326</v>
      </c>
      <c r="E26">
        <v>219</v>
      </c>
      <c r="F26">
        <v>1545</v>
      </c>
      <c r="G26">
        <v>9</v>
      </c>
      <c r="H26">
        <v>378</v>
      </c>
      <c r="I26">
        <v>77868</v>
      </c>
      <c r="J26">
        <v>69302.52</v>
      </c>
    </row>
    <row r="27" spans="1:10" x14ac:dyDescent="0.35">
      <c r="A27">
        <v>2</v>
      </c>
      <c r="B27">
        <v>21</v>
      </c>
      <c r="C27">
        <v>750</v>
      </c>
      <c r="D27">
        <v>3106</v>
      </c>
      <c r="E27">
        <v>369</v>
      </c>
      <c r="F27">
        <v>3475</v>
      </c>
      <c r="G27">
        <v>10</v>
      </c>
      <c r="H27">
        <v>441</v>
      </c>
      <c r="I27">
        <v>181692</v>
      </c>
      <c r="J27">
        <v>161705.88</v>
      </c>
    </row>
    <row r="28" spans="1:10" x14ac:dyDescent="0.35">
      <c r="A28">
        <v>1</v>
      </c>
      <c r="B28">
        <v>23</v>
      </c>
      <c r="C28">
        <v>600</v>
      </c>
      <c r="D28">
        <v>1326</v>
      </c>
      <c r="E28">
        <v>219</v>
      </c>
      <c r="F28">
        <v>1545</v>
      </c>
      <c r="G28">
        <v>10</v>
      </c>
      <c r="H28">
        <v>483</v>
      </c>
      <c r="I28">
        <v>99498</v>
      </c>
      <c r="J28">
        <v>88553.22</v>
      </c>
    </row>
    <row r="29" spans="1:10" x14ac:dyDescent="0.35">
      <c r="A29">
        <v>1</v>
      </c>
      <c r="B29">
        <v>29</v>
      </c>
      <c r="C29">
        <v>600</v>
      </c>
      <c r="D29">
        <v>1326</v>
      </c>
      <c r="E29">
        <v>219</v>
      </c>
      <c r="F29">
        <v>1545</v>
      </c>
      <c r="G29">
        <v>10</v>
      </c>
      <c r="H29">
        <v>609</v>
      </c>
      <c r="I29">
        <v>125454</v>
      </c>
      <c r="J29">
        <v>111654.06</v>
      </c>
    </row>
    <row r="30" spans="1:10" x14ac:dyDescent="0.35">
      <c r="A30">
        <v>1</v>
      </c>
      <c r="B30">
        <v>21</v>
      </c>
      <c r="C30">
        <v>480</v>
      </c>
      <c r="D30">
        <v>1326</v>
      </c>
      <c r="E30">
        <v>219</v>
      </c>
      <c r="F30">
        <v>1545</v>
      </c>
      <c r="G30">
        <v>10</v>
      </c>
      <c r="H30">
        <v>441</v>
      </c>
      <c r="I30">
        <v>90846</v>
      </c>
      <c r="J30">
        <v>80852.94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A7E6-19AD-4658-BA80-E3A98CC88BE1}">
  <dimension ref="A1:M65"/>
  <sheetViews>
    <sheetView workbookViewId="0">
      <selection activeCell="K66" sqref="K66"/>
    </sheetView>
  </sheetViews>
  <sheetFormatPr defaultRowHeight="14.5" x14ac:dyDescent="0.35"/>
  <cols>
    <col min="11" max="11" width="16.1796875" customWidth="1"/>
  </cols>
  <sheetData>
    <row r="1" spans="1:13" x14ac:dyDescent="0.35">
      <c r="A1" t="s">
        <v>0</v>
      </c>
      <c r="B1" t="s">
        <v>14</v>
      </c>
      <c r="C1" t="s">
        <v>2</v>
      </c>
      <c r="D1" t="s">
        <v>3</v>
      </c>
      <c r="E1" t="s">
        <v>15</v>
      </c>
      <c r="F1" t="s">
        <v>16</v>
      </c>
      <c r="G1" t="s">
        <v>6</v>
      </c>
      <c r="H1" t="s">
        <v>7</v>
      </c>
      <c r="I1" t="s">
        <v>17</v>
      </c>
      <c r="J1" t="s">
        <v>18</v>
      </c>
      <c r="K1" t="s">
        <v>13</v>
      </c>
      <c r="L1" t="s">
        <v>19</v>
      </c>
      <c r="M1" t="s">
        <v>24</v>
      </c>
    </row>
    <row r="2" spans="1:13" x14ac:dyDescent="0.35">
      <c r="A2">
        <v>2</v>
      </c>
      <c r="B2">
        <v>9</v>
      </c>
      <c r="C2">
        <v>870</v>
      </c>
      <c r="G2">
        <v>3</v>
      </c>
      <c r="L2">
        <v>2023</v>
      </c>
      <c r="M2">
        <f t="shared" ref="M2:M34" si="0">B2*C2</f>
        <v>7830</v>
      </c>
    </row>
    <row r="3" spans="1:13" x14ac:dyDescent="0.35">
      <c r="A3">
        <v>2</v>
      </c>
      <c r="B3">
        <v>9</v>
      </c>
      <c r="C3">
        <v>700</v>
      </c>
      <c r="G3">
        <v>3</v>
      </c>
      <c r="L3">
        <v>2023</v>
      </c>
      <c r="M3">
        <f t="shared" si="0"/>
        <v>6300</v>
      </c>
    </row>
    <row r="4" spans="1:13" x14ac:dyDescent="0.35">
      <c r="A4">
        <v>2</v>
      </c>
      <c r="B4">
        <v>9</v>
      </c>
      <c r="C4">
        <v>500</v>
      </c>
      <c r="G4">
        <v>3</v>
      </c>
      <c r="L4">
        <v>2023</v>
      </c>
      <c r="M4">
        <f t="shared" si="0"/>
        <v>4500</v>
      </c>
    </row>
    <row r="5" spans="1:13" x14ac:dyDescent="0.35">
      <c r="A5">
        <v>1</v>
      </c>
      <c r="B5">
        <v>24</v>
      </c>
      <c r="C5">
        <v>1029</v>
      </c>
      <c r="G5">
        <v>3</v>
      </c>
      <c r="L5">
        <v>2023</v>
      </c>
      <c r="M5">
        <f t="shared" si="0"/>
        <v>24696</v>
      </c>
    </row>
    <row r="6" spans="1:13" x14ac:dyDescent="0.35">
      <c r="A6">
        <v>2</v>
      </c>
      <c r="B6">
        <v>23</v>
      </c>
      <c r="C6">
        <v>1130</v>
      </c>
      <c r="G6">
        <v>4</v>
      </c>
      <c r="L6">
        <v>2023</v>
      </c>
      <c r="M6">
        <f t="shared" si="0"/>
        <v>25990</v>
      </c>
    </row>
    <row r="7" spans="1:13" x14ac:dyDescent="0.35">
      <c r="A7">
        <v>1</v>
      </c>
      <c r="B7">
        <v>22</v>
      </c>
      <c r="C7">
        <v>500</v>
      </c>
      <c r="G7">
        <v>4</v>
      </c>
      <c r="L7">
        <v>2023</v>
      </c>
      <c r="M7">
        <f t="shared" si="0"/>
        <v>11000</v>
      </c>
    </row>
    <row r="8" spans="1:13" x14ac:dyDescent="0.35">
      <c r="A8">
        <v>2</v>
      </c>
      <c r="B8">
        <v>26</v>
      </c>
      <c r="C8">
        <v>1273</v>
      </c>
      <c r="G8">
        <v>4</v>
      </c>
      <c r="L8">
        <v>2023</v>
      </c>
      <c r="M8">
        <f t="shared" si="0"/>
        <v>33098</v>
      </c>
    </row>
    <row r="9" spans="1:13" x14ac:dyDescent="0.35">
      <c r="A9">
        <v>2</v>
      </c>
      <c r="B9">
        <v>34</v>
      </c>
      <c r="C9">
        <v>650</v>
      </c>
      <c r="G9">
        <v>4</v>
      </c>
      <c r="L9">
        <v>2023</v>
      </c>
      <c r="M9">
        <f t="shared" si="0"/>
        <v>22100</v>
      </c>
    </row>
    <row r="10" spans="1:13" x14ac:dyDescent="0.35">
      <c r="A10">
        <v>1</v>
      </c>
      <c r="B10">
        <v>22</v>
      </c>
      <c r="C10">
        <v>600</v>
      </c>
      <c r="G10">
        <v>5</v>
      </c>
      <c r="L10">
        <v>2023</v>
      </c>
      <c r="M10">
        <f t="shared" si="0"/>
        <v>13200</v>
      </c>
    </row>
    <row r="11" spans="1:13" x14ac:dyDescent="0.35">
      <c r="A11">
        <v>1</v>
      </c>
      <c r="B11">
        <v>23</v>
      </c>
      <c r="C11">
        <v>600</v>
      </c>
      <c r="G11">
        <v>5</v>
      </c>
      <c r="H11">
        <f>B11*17</f>
        <v>391</v>
      </c>
      <c r="K11">
        <f>A11*H11*55*0.87</f>
        <v>18709.349999999999</v>
      </c>
      <c r="L11">
        <v>2023</v>
      </c>
      <c r="M11">
        <f t="shared" si="0"/>
        <v>13800</v>
      </c>
    </row>
    <row r="12" spans="1:13" x14ac:dyDescent="0.35">
      <c r="A12">
        <v>2</v>
      </c>
      <c r="B12">
        <v>21</v>
      </c>
      <c r="C12">
        <v>350</v>
      </c>
      <c r="G12">
        <v>5</v>
      </c>
      <c r="L12">
        <v>2023</v>
      </c>
      <c r="M12">
        <f t="shared" si="0"/>
        <v>7350</v>
      </c>
    </row>
    <row r="13" spans="1:13" x14ac:dyDescent="0.35">
      <c r="A13">
        <v>1</v>
      </c>
      <c r="B13">
        <v>26</v>
      </c>
      <c r="C13">
        <v>600</v>
      </c>
      <c r="G13">
        <v>5</v>
      </c>
      <c r="H13">
        <f>B13*17</f>
        <v>442</v>
      </c>
      <c r="K13">
        <f>A13*H13*55*0.89</f>
        <v>21635.9</v>
      </c>
      <c r="L13">
        <v>2023</v>
      </c>
      <c r="M13">
        <f t="shared" si="0"/>
        <v>15600</v>
      </c>
    </row>
    <row r="14" spans="1:13" x14ac:dyDescent="0.35">
      <c r="A14">
        <v>1</v>
      </c>
      <c r="B14">
        <v>24</v>
      </c>
      <c r="C14">
        <v>600</v>
      </c>
      <c r="G14">
        <v>6</v>
      </c>
      <c r="L14">
        <v>2023</v>
      </c>
      <c r="M14">
        <f t="shared" si="0"/>
        <v>14400</v>
      </c>
    </row>
    <row r="15" spans="1:13" x14ac:dyDescent="0.35">
      <c r="A15">
        <v>2</v>
      </c>
      <c r="B15">
        <v>23</v>
      </c>
      <c r="C15">
        <v>780</v>
      </c>
      <c r="G15">
        <v>6</v>
      </c>
      <c r="L15">
        <v>2023</v>
      </c>
      <c r="M15">
        <f t="shared" si="0"/>
        <v>17940</v>
      </c>
    </row>
    <row r="16" spans="1:13" x14ac:dyDescent="0.35">
      <c r="A16">
        <v>2</v>
      </c>
      <c r="B16">
        <v>16</v>
      </c>
      <c r="C16">
        <v>870</v>
      </c>
      <c r="G16">
        <v>6</v>
      </c>
      <c r="H16">
        <f>B16*15</f>
        <v>240</v>
      </c>
      <c r="K16">
        <f>110*3*A16*H16*0.87</f>
        <v>137808</v>
      </c>
      <c r="L16">
        <v>2023</v>
      </c>
      <c r="M16">
        <f t="shared" si="0"/>
        <v>13920</v>
      </c>
    </row>
    <row r="17" spans="1:13" x14ac:dyDescent="0.35">
      <c r="A17">
        <v>2</v>
      </c>
      <c r="B17">
        <v>18</v>
      </c>
      <c r="C17">
        <v>730</v>
      </c>
      <c r="G17">
        <v>7</v>
      </c>
      <c r="L17">
        <v>2023</v>
      </c>
      <c r="M17">
        <f t="shared" si="0"/>
        <v>13140</v>
      </c>
    </row>
    <row r="18" spans="1:13" x14ac:dyDescent="0.35">
      <c r="A18">
        <v>2</v>
      </c>
      <c r="B18">
        <v>13</v>
      </c>
      <c r="C18">
        <v>400</v>
      </c>
      <c r="G18">
        <v>7</v>
      </c>
      <c r="H18">
        <f>B18*15</f>
        <v>195</v>
      </c>
      <c r="K18">
        <f>A18*110*3*H18*0.87</f>
        <v>111969</v>
      </c>
      <c r="L18">
        <v>2023</v>
      </c>
      <c r="M18">
        <f t="shared" si="0"/>
        <v>5200</v>
      </c>
    </row>
    <row r="19" spans="1:13" x14ac:dyDescent="0.35">
      <c r="A19">
        <v>3</v>
      </c>
      <c r="B19">
        <v>21</v>
      </c>
      <c r="C19">
        <v>1100</v>
      </c>
      <c r="G19">
        <v>7</v>
      </c>
      <c r="L19">
        <v>2023</v>
      </c>
      <c r="M19">
        <f t="shared" si="0"/>
        <v>23100</v>
      </c>
    </row>
    <row r="20" spans="1:13" x14ac:dyDescent="0.35">
      <c r="A20">
        <v>4</v>
      </c>
      <c r="B20">
        <v>22</v>
      </c>
      <c r="C20">
        <v>750</v>
      </c>
      <c r="G20">
        <v>7</v>
      </c>
      <c r="H20">
        <f>B20*15</f>
        <v>330</v>
      </c>
      <c r="K20">
        <f>110*3*A20*H20*0.87</f>
        <v>378972</v>
      </c>
      <c r="L20">
        <v>2023</v>
      </c>
      <c r="M20">
        <f t="shared" si="0"/>
        <v>16500</v>
      </c>
    </row>
    <row r="21" spans="1:13" x14ac:dyDescent="0.35">
      <c r="A21">
        <v>1</v>
      </c>
      <c r="B21">
        <v>19</v>
      </c>
      <c r="C21">
        <v>880</v>
      </c>
      <c r="G21">
        <v>8</v>
      </c>
      <c r="L21">
        <v>2023</v>
      </c>
      <c r="M21">
        <f t="shared" si="0"/>
        <v>16720</v>
      </c>
    </row>
    <row r="22" spans="1:13" x14ac:dyDescent="0.35">
      <c r="A22">
        <v>1</v>
      </c>
      <c r="B22">
        <v>17</v>
      </c>
      <c r="C22">
        <v>800</v>
      </c>
      <c r="G22">
        <v>8</v>
      </c>
      <c r="H22">
        <f>B22*17</f>
        <v>289</v>
      </c>
      <c r="K22">
        <f>55*H22*A22*0.87</f>
        <v>13828.65</v>
      </c>
      <c r="L22">
        <v>2023</v>
      </c>
      <c r="M22">
        <f t="shared" si="0"/>
        <v>13600</v>
      </c>
    </row>
    <row r="23" spans="1:13" x14ac:dyDescent="0.35">
      <c r="A23">
        <v>2</v>
      </c>
      <c r="B23">
        <v>23</v>
      </c>
      <c r="C23">
        <v>870</v>
      </c>
      <c r="G23">
        <v>8</v>
      </c>
      <c r="H23">
        <f>B23*15</f>
        <v>345</v>
      </c>
      <c r="K23">
        <f>110*3*A23*H23*0.87</f>
        <v>198099</v>
      </c>
      <c r="L23">
        <v>2023</v>
      </c>
      <c r="M23">
        <f t="shared" si="0"/>
        <v>20010</v>
      </c>
    </row>
    <row r="24" spans="1:13" x14ac:dyDescent="0.35">
      <c r="A24">
        <v>1</v>
      </c>
      <c r="B24">
        <v>28</v>
      </c>
      <c r="C24">
        <v>600</v>
      </c>
      <c r="G24">
        <v>8</v>
      </c>
      <c r="L24">
        <v>2023</v>
      </c>
      <c r="M24">
        <f t="shared" si="0"/>
        <v>16800</v>
      </c>
    </row>
    <row r="25" spans="1:13" x14ac:dyDescent="0.35">
      <c r="A25">
        <v>2</v>
      </c>
      <c r="B25">
        <v>25</v>
      </c>
      <c r="C25">
        <v>870</v>
      </c>
      <c r="G25">
        <v>9</v>
      </c>
      <c r="L25">
        <v>2023</v>
      </c>
      <c r="M25">
        <f t="shared" si="0"/>
        <v>21750</v>
      </c>
    </row>
    <row r="26" spans="1:13" x14ac:dyDescent="0.35">
      <c r="A26">
        <v>2</v>
      </c>
      <c r="B26">
        <v>21</v>
      </c>
      <c r="C26">
        <v>770</v>
      </c>
      <c r="G26">
        <v>9</v>
      </c>
      <c r="H26">
        <f>B26*15</f>
        <v>315</v>
      </c>
      <c r="K26">
        <f>110*3*A26*H26*0.87</f>
        <v>180873</v>
      </c>
      <c r="L26">
        <v>2023</v>
      </c>
      <c r="M26">
        <f t="shared" si="0"/>
        <v>16170</v>
      </c>
    </row>
    <row r="27" spans="1:13" x14ac:dyDescent="0.35">
      <c r="A27">
        <v>1</v>
      </c>
      <c r="B27">
        <v>18</v>
      </c>
      <c r="C27">
        <v>480</v>
      </c>
      <c r="G27">
        <v>9</v>
      </c>
      <c r="H27">
        <f t="shared" ref="H27:H34" si="1">B27*17</f>
        <v>306</v>
      </c>
      <c r="K27">
        <f>55*A27*H27*0.87</f>
        <v>14642.1</v>
      </c>
      <c r="L27">
        <v>2023</v>
      </c>
      <c r="M27">
        <f t="shared" si="0"/>
        <v>8640</v>
      </c>
    </row>
    <row r="28" spans="1:13" x14ac:dyDescent="0.35">
      <c r="A28">
        <v>1</v>
      </c>
      <c r="B28">
        <v>42</v>
      </c>
      <c r="C28">
        <v>285</v>
      </c>
      <c r="G28">
        <v>9</v>
      </c>
      <c r="H28">
        <f t="shared" si="1"/>
        <v>714</v>
      </c>
      <c r="K28">
        <f>55*A28*H28*0.87</f>
        <v>34164.9</v>
      </c>
      <c r="L28">
        <v>2023</v>
      </c>
      <c r="M28">
        <f t="shared" si="0"/>
        <v>11970</v>
      </c>
    </row>
    <row r="29" spans="1:13" x14ac:dyDescent="0.35">
      <c r="A29">
        <v>1</v>
      </c>
      <c r="B29">
        <v>33</v>
      </c>
      <c r="C29">
        <v>285</v>
      </c>
      <c r="G29">
        <v>9</v>
      </c>
      <c r="H29">
        <f t="shared" si="1"/>
        <v>561</v>
      </c>
      <c r="K29">
        <f>A29*H29*55*0.87</f>
        <v>26843.85</v>
      </c>
      <c r="L29">
        <v>2023</v>
      </c>
      <c r="M29">
        <f t="shared" si="0"/>
        <v>9405</v>
      </c>
    </row>
    <row r="30" spans="1:13" x14ac:dyDescent="0.35">
      <c r="A30">
        <v>1</v>
      </c>
      <c r="B30">
        <v>42</v>
      </c>
      <c r="C30">
        <v>225</v>
      </c>
      <c r="G30">
        <v>10</v>
      </c>
      <c r="H30">
        <f t="shared" si="1"/>
        <v>714</v>
      </c>
      <c r="K30">
        <f>A30*H30*55*0.87</f>
        <v>34164.9</v>
      </c>
      <c r="L30">
        <v>2023</v>
      </c>
      <c r="M30">
        <f t="shared" si="0"/>
        <v>9450</v>
      </c>
    </row>
    <row r="31" spans="1:13" x14ac:dyDescent="0.35">
      <c r="A31">
        <v>1</v>
      </c>
      <c r="B31">
        <v>57</v>
      </c>
      <c r="C31">
        <v>285</v>
      </c>
      <c r="G31">
        <v>10</v>
      </c>
      <c r="H31">
        <f t="shared" si="1"/>
        <v>969</v>
      </c>
      <c r="K31">
        <f>H31*55*0.87</f>
        <v>46366.65</v>
      </c>
      <c r="L31">
        <v>2023</v>
      </c>
      <c r="M31">
        <f t="shared" si="0"/>
        <v>16245</v>
      </c>
    </row>
    <row r="32" spans="1:13" x14ac:dyDescent="0.35">
      <c r="A32">
        <v>1</v>
      </c>
      <c r="B32">
        <v>38</v>
      </c>
      <c r="C32">
        <v>285</v>
      </c>
      <c r="G32">
        <v>10</v>
      </c>
      <c r="H32">
        <f t="shared" si="1"/>
        <v>646</v>
      </c>
      <c r="K32">
        <f>55*0.87*H32</f>
        <v>30911.100000000002</v>
      </c>
      <c r="L32">
        <v>2023</v>
      </c>
      <c r="M32">
        <f t="shared" si="0"/>
        <v>10830</v>
      </c>
    </row>
    <row r="33" spans="1:13" x14ac:dyDescent="0.35">
      <c r="A33">
        <v>1</v>
      </c>
      <c r="B33">
        <v>41</v>
      </c>
      <c r="C33">
        <v>285</v>
      </c>
      <c r="G33">
        <v>11</v>
      </c>
      <c r="H33">
        <f t="shared" si="1"/>
        <v>697</v>
      </c>
      <c r="K33">
        <f>55*697*0.87</f>
        <v>33351.449999999997</v>
      </c>
      <c r="L33">
        <v>2023</v>
      </c>
      <c r="M33">
        <f t="shared" si="0"/>
        <v>11685</v>
      </c>
    </row>
    <row r="34" spans="1:13" x14ac:dyDescent="0.35">
      <c r="A34">
        <v>2</v>
      </c>
      <c r="B34">
        <v>15</v>
      </c>
      <c r="C34">
        <v>325</v>
      </c>
      <c r="G34">
        <v>11</v>
      </c>
      <c r="H34">
        <f t="shared" si="1"/>
        <v>255</v>
      </c>
      <c r="K34">
        <f>3*110*A34*H34*0.87</f>
        <v>146421</v>
      </c>
      <c r="L34">
        <v>2023</v>
      </c>
      <c r="M34">
        <f t="shared" si="0"/>
        <v>4875</v>
      </c>
    </row>
    <row r="35" spans="1:13" x14ac:dyDescent="0.35">
      <c r="J35" t="s">
        <v>20</v>
      </c>
      <c r="K35">
        <f>SUM(K2:K34)</f>
        <v>1428760.8499999999</v>
      </c>
      <c r="M35">
        <f>SUM(M2:M34)</f>
        <v>477814</v>
      </c>
    </row>
    <row r="36" spans="1:13" x14ac:dyDescent="0.35">
      <c r="J36" t="s">
        <v>21</v>
      </c>
      <c r="K36">
        <f>K35*1.4</f>
        <v>2000265.1899999997</v>
      </c>
    </row>
    <row r="38" spans="1:13" x14ac:dyDescent="0.35">
      <c r="J38" t="s">
        <v>22</v>
      </c>
      <c r="K38">
        <f>K11+K13+K22+K23+K27+K28+K29+K30+K31+K32+K33</f>
        <v>472717.85000000003</v>
      </c>
    </row>
    <row r="39" spans="1:13" x14ac:dyDescent="0.35">
      <c r="J39" t="s">
        <v>23</v>
      </c>
      <c r="K39">
        <f>K16+K18+K20+K26+K34</f>
        <v>956043</v>
      </c>
    </row>
    <row r="40" spans="1:13" x14ac:dyDescent="0.35">
      <c r="K40">
        <f>2000265*0.04*10</f>
        <v>800106</v>
      </c>
      <c r="M40">
        <f>M35*10</f>
        <v>4778140</v>
      </c>
    </row>
    <row r="43" spans="1:13" x14ac:dyDescent="0.35">
      <c r="K43">
        <f>472717/10</f>
        <v>47271.7</v>
      </c>
    </row>
    <row r="44" spans="1:13" x14ac:dyDescent="0.35">
      <c r="K44">
        <f>956043/6</f>
        <v>159340.5</v>
      </c>
    </row>
    <row r="45" spans="1:13" x14ac:dyDescent="0.35">
      <c r="K45">
        <f>159340*7</f>
        <v>1115380</v>
      </c>
    </row>
    <row r="46" spans="1:13" x14ac:dyDescent="0.35">
      <c r="K46">
        <f>1115380+472717</f>
        <v>1588097</v>
      </c>
    </row>
    <row r="48" spans="1:13" x14ac:dyDescent="0.35">
      <c r="K48">
        <f>1428760+(1588097*2)</f>
        <v>4604954</v>
      </c>
    </row>
    <row r="49" spans="11:11" x14ac:dyDescent="0.35">
      <c r="K49">
        <f>K48*1.4</f>
        <v>6446935.5999999996</v>
      </c>
    </row>
    <row r="50" spans="11:11" x14ac:dyDescent="0.35">
      <c r="K50">
        <f>K49*0.04</f>
        <v>257877.424</v>
      </c>
    </row>
    <row r="51" spans="11:11" x14ac:dyDescent="0.35">
      <c r="K51">
        <f>K50/3</f>
        <v>85959.141333333333</v>
      </c>
    </row>
    <row r="52" spans="11:11" x14ac:dyDescent="0.35">
      <c r="K52">
        <f>K51*10</f>
        <v>859591.41333333333</v>
      </c>
    </row>
    <row r="53" spans="11:11" x14ac:dyDescent="0.35">
      <c r="K53">
        <f>4604954/3</f>
        <v>1534984.6666666667</v>
      </c>
    </row>
    <row r="54" spans="11:11" x14ac:dyDescent="0.35">
      <c r="K54">
        <f>K53*10</f>
        <v>15349846.666666668</v>
      </c>
    </row>
    <row r="55" spans="11:11" x14ac:dyDescent="0.35">
      <c r="K55">
        <f>K54*1.4</f>
        <v>21489785.333333332</v>
      </c>
    </row>
    <row r="57" spans="11:11" x14ac:dyDescent="0.35">
      <c r="K57">
        <f>K54/5</f>
        <v>3069969.3333333335</v>
      </c>
    </row>
    <row r="58" spans="11:11" x14ac:dyDescent="0.35">
      <c r="K58">
        <f>K57/10</f>
        <v>306996.93333333335</v>
      </c>
    </row>
    <row r="60" spans="11:11" x14ac:dyDescent="0.35">
      <c r="K60">
        <f>306996*9</f>
        <v>2762964</v>
      </c>
    </row>
    <row r="61" spans="11:11" x14ac:dyDescent="0.35">
      <c r="K61">
        <f>K60*10</f>
        <v>27629640</v>
      </c>
    </row>
    <row r="62" spans="11:11" x14ac:dyDescent="0.35">
      <c r="K62">
        <f>K60*3</f>
        <v>8288892</v>
      </c>
    </row>
    <row r="63" spans="11:11" x14ac:dyDescent="0.35">
      <c r="K63">
        <f>K61*1.4</f>
        <v>38681496</v>
      </c>
    </row>
    <row r="64" spans="11:11" x14ac:dyDescent="0.35">
      <c r="K64">
        <f>K62*1.4</f>
        <v>11604448.799999999</v>
      </c>
    </row>
    <row r="65" spans="11:11" x14ac:dyDescent="0.35">
      <c r="K65">
        <f>K63*0.04</f>
        <v>1547259.84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58B0F-56C5-4B2D-8A96-6E34BB30338B}">
  <dimension ref="A1:J35"/>
  <sheetViews>
    <sheetView workbookViewId="0">
      <selection activeCell="J39" sqref="J39"/>
    </sheetView>
  </sheetViews>
  <sheetFormatPr defaultRowHeight="14.5" x14ac:dyDescent="0.35"/>
  <cols>
    <col min="1" max="9" width="11.1796875" bestFit="1" customWidth="1"/>
    <col min="10" max="10" width="12.17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  <c r="I1" t="s">
        <v>8</v>
      </c>
      <c r="J1" t="s">
        <v>9</v>
      </c>
    </row>
    <row r="2" spans="1:10" x14ac:dyDescent="0.35">
      <c r="A2">
        <v>1</v>
      </c>
      <c r="B2">
        <v>21</v>
      </c>
      <c r="C2">
        <v>1000</v>
      </c>
      <c r="D2">
        <v>1326</v>
      </c>
      <c r="E2">
        <v>219</v>
      </c>
      <c r="F2">
        <v>1545</v>
      </c>
      <c r="G2">
        <v>3</v>
      </c>
      <c r="H2">
        <v>441</v>
      </c>
      <c r="I2">
        <v>90846</v>
      </c>
      <c r="J2">
        <v>80852.94</v>
      </c>
    </row>
    <row r="3" spans="1:10" x14ac:dyDescent="0.35">
      <c r="A3">
        <v>1</v>
      </c>
      <c r="B3">
        <v>23</v>
      </c>
      <c r="C3">
        <v>600</v>
      </c>
      <c r="D3">
        <v>1326</v>
      </c>
      <c r="E3">
        <v>219</v>
      </c>
      <c r="F3">
        <v>1545</v>
      </c>
      <c r="G3">
        <v>3</v>
      </c>
      <c r="H3">
        <v>483</v>
      </c>
      <c r="I3">
        <v>99498</v>
      </c>
      <c r="J3">
        <v>88553.22</v>
      </c>
    </row>
    <row r="4" spans="1:10" x14ac:dyDescent="0.35">
      <c r="A4">
        <v>3</v>
      </c>
      <c r="B4">
        <v>22</v>
      </c>
      <c r="C4">
        <v>0</v>
      </c>
      <c r="D4">
        <v>5482</v>
      </c>
      <c r="E4">
        <v>575</v>
      </c>
      <c r="F4">
        <v>6057</v>
      </c>
      <c r="G4">
        <v>3</v>
      </c>
      <c r="H4">
        <v>462</v>
      </c>
      <c r="I4">
        <v>285516</v>
      </c>
      <c r="J4">
        <v>254109.24</v>
      </c>
    </row>
    <row r="5" spans="1:10" x14ac:dyDescent="0.35">
      <c r="A5">
        <v>1</v>
      </c>
      <c r="B5">
        <v>15</v>
      </c>
      <c r="C5">
        <v>0</v>
      </c>
      <c r="D5">
        <v>1326</v>
      </c>
      <c r="E5">
        <v>219</v>
      </c>
      <c r="F5">
        <v>1545</v>
      </c>
      <c r="G5">
        <v>3</v>
      </c>
      <c r="H5">
        <v>315</v>
      </c>
      <c r="I5">
        <v>64890</v>
      </c>
      <c r="J5">
        <v>57752.1</v>
      </c>
    </row>
    <row r="6" spans="1:10" x14ac:dyDescent="0.35">
      <c r="A6">
        <v>1</v>
      </c>
      <c r="B6">
        <v>18</v>
      </c>
      <c r="C6">
        <v>600</v>
      </c>
      <c r="D6">
        <v>1326</v>
      </c>
      <c r="E6">
        <v>219</v>
      </c>
      <c r="F6">
        <v>1545</v>
      </c>
      <c r="G6">
        <v>4</v>
      </c>
      <c r="H6">
        <v>378</v>
      </c>
      <c r="I6">
        <v>77868</v>
      </c>
      <c r="J6">
        <v>69302.52</v>
      </c>
    </row>
    <row r="7" spans="1:10" x14ac:dyDescent="0.35">
      <c r="A7">
        <v>1</v>
      </c>
      <c r="B7">
        <v>20</v>
      </c>
      <c r="C7">
        <v>500</v>
      </c>
      <c r="D7">
        <v>1326</v>
      </c>
      <c r="E7">
        <v>219</v>
      </c>
      <c r="F7">
        <v>1545</v>
      </c>
      <c r="G7">
        <v>4</v>
      </c>
      <c r="H7">
        <v>420</v>
      </c>
      <c r="I7">
        <v>86520</v>
      </c>
      <c r="J7">
        <v>77002.8</v>
      </c>
    </row>
    <row r="8" spans="1:10" x14ac:dyDescent="0.35">
      <c r="A8">
        <v>1</v>
      </c>
      <c r="B8">
        <v>25</v>
      </c>
      <c r="C8">
        <v>600</v>
      </c>
      <c r="D8">
        <v>1326</v>
      </c>
      <c r="E8">
        <v>219</v>
      </c>
      <c r="F8">
        <v>1545</v>
      </c>
      <c r="G8">
        <v>4</v>
      </c>
      <c r="H8">
        <v>525</v>
      </c>
      <c r="I8">
        <v>108150</v>
      </c>
      <c r="J8">
        <v>96253.5</v>
      </c>
    </row>
    <row r="9" spans="1:10" x14ac:dyDescent="0.35">
      <c r="A9">
        <v>1</v>
      </c>
      <c r="B9">
        <v>25</v>
      </c>
      <c r="C9">
        <v>711.25</v>
      </c>
      <c r="D9">
        <v>1326</v>
      </c>
      <c r="E9">
        <v>219</v>
      </c>
      <c r="F9">
        <v>1545</v>
      </c>
      <c r="G9">
        <v>4</v>
      </c>
      <c r="H9">
        <v>525</v>
      </c>
      <c r="I9">
        <v>108150</v>
      </c>
      <c r="J9">
        <v>96253.5</v>
      </c>
    </row>
    <row r="10" spans="1:10" x14ac:dyDescent="0.35">
      <c r="A10">
        <v>2</v>
      </c>
      <c r="B10">
        <v>20</v>
      </c>
      <c r="C10">
        <v>750</v>
      </c>
      <c r="D10">
        <v>3106</v>
      </c>
      <c r="E10">
        <v>369</v>
      </c>
      <c r="F10">
        <v>3475</v>
      </c>
      <c r="G10">
        <v>5</v>
      </c>
      <c r="H10">
        <v>420</v>
      </c>
      <c r="I10">
        <v>173040</v>
      </c>
      <c r="J10">
        <v>154005.6</v>
      </c>
    </row>
    <row r="11" spans="1:10" x14ac:dyDescent="0.35">
      <c r="A11">
        <v>1</v>
      </c>
      <c r="B11">
        <v>20</v>
      </c>
      <c r="C11">
        <v>870</v>
      </c>
      <c r="D11">
        <v>1326</v>
      </c>
      <c r="E11">
        <v>219</v>
      </c>
      <c r="F11">
        <v>1545</v>
      </c>
      <c r="G11">
        <v>5</v>
      </c>
      <c r="H11">
        <v>420</v>
      </c>
      <c r="I11">
        <v>86520</v>
      </c>
      <c r="J11">
        <v>77002.8</v>
      </c>
    </row>
    <row r="12" spans="1:10" x14ac:dyDescent="0.35">
      <c r="A12">
        <v>1</v>
      </c>
      <c r="B12">
        <v>20</v>
      </c>
      <c r="C12">
        <v>500</v>
      </c>
      <c r="D12">
        <v>1326</v>
      </c>
      <c r="E12">
        <v>219</v>
      </c>
      <c r="F12">
        <v>1545</v>
      </c>
      <c r="G12">
        <v>5</v>
      </c>
      <c r="H12">
        <v>420</v>
      </c>
      <c r="I12">
        <v>86520</v>
      </c>
      <c r="J12">
        <v>77002.8</v>
      </c>
    </row>
    <row r="13" spans="1:10" x14ac:dyDescent="0.35">
      <c r="A13">
        <v>1</v>
      </c>
      <c r="B13">
        <v>14</v>
      </c>
      <c r="C13">
        <v>270</v>
      </c>
      <c r="D13">
        <v>1326</v>
      </c>
      <c r="E13">
        <v>219</v>
      </c>
      <c r="F13">
        <v>1545</v>
      </c>
      <c r="G13">
        <v>5</v>
      </c>
      <c r="H13">
        <v>294</v>
      </c>
      <c r="I13">
        <v>60564</v>
      </c>
      <c r="J13">
        <v>53901.96</v>
      </c>
    </row>
    <row r="14" spans="1:10" x14ac:dyDescent="0.35">
      <c r="A14">
        <v>2</v>
      </c>
      <c r="B14">
        <v>22</v>
      </c>
      <c r="C14">
        <v>870</v>
      </c>
      <c r="D14">
        <v>3106</v>
      </c>
      <c r="E14">
        <v>369</v>
      </c>
      <c r="F14">
        <v>3475</v>
      </c>
      <c r="G14">
        <v>5</v>
      </c>
      <c r="H14">
        <v>462</v>
      </c>
      <c r="I14">
        <v>190344</v>
      </c>
      <c r="J14">
        <v>169406.16</v>
      </c>
    </row>
    <row r="15" spans="1:10" x14ac:dyDescent="0.35">
      <c r="A15">
        <v>2</v>
      </c>
      <c r="B15">
        <v>20</v>
      </c>
      <c r="C15">
        <v>870</v>
      </c>
      <c r="D15">
        <v>3106</v>
      </c>
      <c r="E15">
        <v>369</v>
      </c>
      <c r="F15">
        <v>3475</v>
      </c>
      <c r="G15">
        <v>6</v>
      </c>
      <c r="H15">
        <v>420</v>
      </c>
      <c r="I15">
        <v>173040</v>
      </c>
      <c r="J15">
        <v>154005.6</v>
      </c>
    </row>
    <row r="16" spans="1:10" x14ac:dyDescent="0.35">
      <c r="A16">
        <v>2</v>
      </c>
      <c r="B16">
        <v>27</v>
      </c>
      <c r="C16">
        <v>750</v>
      </c>
      <c r="D16">
        <v>3106</v>
      </c>
      <c r="E16">
        <v>369</v>
      </c>
      <c r="F16">
        <v>3475</v>
      </c>
      <c r="G16">
        <v>6</v>
      </c>
      <c r="H16">
        <v>567</v>
      </c>
      <c r="I16">
        <v>233604</v>
      </c>
      <c r="J16">
        <v>207907.56</v>
      </c>
    </row>
    <row r="17" spans="1:10" x14ac:dyDescent="0.35">
      <c r="A17">
        <v>1</v>
      </c>
      <c r="B17">
        <v>18</v>
      </c>
      <c r="C17">
        <v>600</v>
      </c>
      <c r="D17">
        <v>1326</v>
      </c>
      <c r="E17">
        <v>219</v>
      </c>
      <c r="F17">
        <v>1545</v>
      </c>
      <c r="G17">
        <v>6</v>
      </c>
      <c r="H17">
        <v>378</v>
      </c>
      <c r="I17">
        <v>77868</v>
      </c>
      <c r="J17">
        <v>69302.52</v>
      </c>
    </row>
    <row r="18" spans="1:10" x14ac:dyDescent="0.35">
      <c r="A18">
        <v>2</v>
      </c>
      <c r="B18">
        <v>24</v>
      </c>
      <c r="C18">
        <v>750</v>
      </c>
      <c r="D18">
        <v>3106</v>
      </c>
      <c r="E18">
        <v>369</v>
      </c>
      <c r="F18">
        <v>3475</v>
      </c>
      <c r="G18">
        <v>7</v>
      </c>
      <c r="H18">
        <v>504</v>
      </c>
      <c r="I18">
        <v>207648</v>
      </c>
      <c r="J18">
        <v>184806.72</v>
      </c>
    </row>
    <row r="19" spans="1:10" x14ac:dyDescent="0.35">
      <c r="A19">
        <v>2</v>
      </c>
      <c r="B19">
        <v>20</v>
      </c>
      <c r="C19">
        <v>0</v>
      </c>
      <c r="D19">
        <v>3106</v>
      </c>
      <c r="E19">
        <v>369</v>
      </c>
      <c r="F19">
        <v>3475</v>
      </c>
      <c r="G19">
        <v>7</v>
      </c>
      <c r="H19">
        <v>420</v>
      </c>
      <c r="I19">
        <v>173040</v>
      </c>
      <c r="J19">
        <v>154005.6</v>
      </c>
    </row>
    <row r="20" spans="1:10" x14ac:dyDescent="0.35">
      <c r="A20">
        <v>4</v>
      </c>
      <c r="B20">
        <v>42</v>
      </c>
      <c r="C20">
        <v>1050</v>
      </c>
      <c r="D20">
        <v>7000</v>
      </c>
      <c r="E20">
        <v>700</v>
      </c>
      <c r="F20">
        <v>7700</v>
      </c>
      <c r="G20">
        <v>7</v>
      </c>
      <c r="H20">
        <v>882</v>
      </c>
      <c r="I20">
        <v>726768</v>
      </c>
      <c r="J20">
        <v>646823.52</v>
      </c>
    </row>
    <row r="21" spans="1:10" x14ac:dyDescent="0.35">
      <c r="A21">
        <v>5</v>
      </c>
      <c r="B21">
        <v>70</v>
      </c>
      <c r="C21">
        <v>0</v>
      </c>
      <c r="D21">
        <v>10000</v>
      </c>
      <c r="E21">
        <v>1100</v>
      </c>
      <c r="F21">
        <v>11100</v>
      </c>
      <c r="G21">
        <v>7</v>
      </c>
      <c r="H21">
        <v>1470</v>
      </c>
      <c r="I21">
        <v>1514100</v>
      </c>
      <c r="J21">
        <v>1347549</v>
      </c>
    </row>
    <row r="22" spans="1:10" x14ac:dyDescent="0.35">
      <c r="A22">
        <v>1</v>
      </c>
      <c r="B22">
        <v>26</v>
      </c>
      <c r="C22">
        <v>600</v>
      </c>
      <c r="D22">
        <v>1326</v>
      </c>
      <c r="E22">
        <v>219</v>
      </c>
      <c r="F22">
        <v>1545</v>
      </c>
      <c r="G22">
        <v>7</v>
      </c>
      <c r="H22">
        <v>546</v>
      </c>
      <c r="I22">
        <v>112476</v>
      </c>
      <c r="J22">
        <v>100103.64</v>
      </c>
    </row>
    <row r="23" spans="1:10" x14ac:dyDescent="0.35">
      <c r="A23">
        <v>1</v>
      </c>
      <c r="B23">
        <v>22</v>
      </c>
      <c r="C23">
        <v>600</v>
      </c>
      <c r="D23">
        <v>1326</v>
      </c>
      <c r="E23">
        <v>219</v>
      </c>
      <c r="F23">
        <v>1545</v>
      </c>
      <c r="G23">
        <v>8</v>
      </c>
      <c r="H23">
        <v>462</v>
      </c>
      <c r="I23">
        <v>95172</v>
      </c>
      <c r="J23">
        <v>84703.08</v>
      </c>
    </row>
    <row r="24" spans="1:10" x14ac:dyDescent="0.35">
      <c r="A24">
        <v>1</v>
      </c>
      <c r="B24">
        <v>20</v>
      </c>
      <c r="C24">
        <v>1200</v>
      </c>
      <c r="D24">
        <v>1326</v>
      </c>
      <c r="E24">
        <v>219</v>
      </c>
      <c r="F24">
        <v>1545</v>
      </c>
      <c r="G24">
        <v>8</v>
      </c>
      <c r="H24">
        <v>420</v>
      </c>
      <c r="I24">
        <v>86520</v>
      </c>
      <c r="J24">
        <v>77002.8</v>
      </c>
    </row>
    <row r="25" spans="1:10" x14ac:dyDescent="0.35">
      <c r="A25">
        <v>2</v>
      </c>
      <c r="B25">
        <v>21</v>
      </c>
      <c r="C25">
        <v>770</v>
      </c>
      <c r="D25">
        <v>3106</v>
      </c>
      <c r="E25">
        <v>369</v>
      </c>
      <c r="F25">
        <v>3475</v>
      </c>
      <c r="G25">
        <v>8</v>
      </c>
      <c r="H25">
        <v>441</v>
      </c>
      <c r="I25">
        <v>181692</v>
      </c>
      <c r="J25">
        <v>161705.88</v>
      </c>
    </row>
    <row r="26" spans="1:10" x14ac:dyDescent="0.35">
      <c r="A26">
        <v>1</v>
      </c>
      <c r="B26">
        <v>31</v>
      </c>
      <c r="C26">
        <v>0</v>
      </c>
      <c r="D26">
        <v>1326</v>
      </c>
      <c r="E26">
        <v>217</v>
      </c>
      <c r="F26">
        <v>1545</v>
      </c>
      <c r="G26">
        <v>8</v>
      </c>
      <c r="H26">
        <v>651</v>
      </c>
      <c r="I26">
        <v>134106</v>
      </c>
      <c r="J26">
        <v>119354.34</v>
      </c>
    </row>
    <row r="27" spans="1:10" x14ac:dyDescent="0.35">
      <c r="A27">
        <v>2</v>
      </c>
      <c r="B27">
        <v>16</v>
      </c>
      <c r="C27">
        <v>870</v>
      </c>
      <c r="D27">
        <v>3106</v>
      </c>
      <c r="E27">
        <v>369</v>
      </c>
      <c r="F27">
        <v>3475</v>
      </c>
      <c r="G27">
        <v>9</v>
      </c>
      <c r="H27">
        <v>336</v>
      </c>
      <c r="I27">
        <v>138432</v>
      </c>
      <c r="J27">
        <v>123204.48</v>
      </c>
    </row>
    <row r="28" spans="1:10" x14ac:dyDescent="0.35">
      <c r="A28">
        <v>2</v>
      </c>
      <c r="B28">
        <v>22</v>
      </c>
      <c r="C28">
        <v>0</v>
      </c>
      <c r="D28">
        <v>3106</v>
      </c>
      <c r="E28">
        <v>369</v>
      </c>
      <c r="F28">
        <v>3475</v>
      </c>
      <c r="G28">
        <v>9</v>
      </c>
      <c r="H28">
        <v>462</v>
      </c>
      <c r="I28">
        <v>190344</v>
      </c>
      <c r="J28">
        <v>169406.16</v>
      </c>
    </row>
    <row r="29" spans="1:10" x14ac:dyDescent="0.35">
      <c r="A29">
        <v>2</v>
      </c>
      <c r="B29">
        <v>28</v>
      </c>
      <c r="C29">
        <v>750</v>
      </c>
      <c r="D29">
        <v>3106</v>
      </c>
      <c r="E29">
        <v>369</v>
      </c>
      <c r="F29">
        <v>3475</v>
      </c>
      <c r="G29">
        <v>9</v>
      </c>
      <c r="H29">
        <v>588</v>
      </c>
      <c r="I29">
        <v>242256</v>
      </c>
      <c r="J29">
        <v>215607.84</v>
      </c>
    </row>
    <row r="30" spans="1:10" x14ac:dyDescent="0.35">
      <c r="A30">
        <v>1</v>
      </c>
      <c r="B30">
        <v>26</v>
      </c>
      <c r="C30">
        <v>600</v>
      </c>
      <c r="D30">
        <v>1326</v>
      </c>
      <c r="E30">
        <v>219</v>
      </c>
      <c r="F30">
        <v>1545</v>
      </c>
      <c r="G30">
        <v>9</v>
      </c>
      <c r="H30">
        <v>546</v>
      </c>
      <c r="I30">
        <v>112476</v>
      </c>
      <c r="J30">
        <v>100103.64</v>
      </c>
    </row>
    <row r="31" spans="1:10" x14ac:dyDescent="0.35">
      <c r="A31">
        <v>1</v>
      </c>
      <c r="B31">
        <v>26</v>
      </c>
      <c r="C31">
        <v>0</v>
      </c>
      <c r="D31">
        <v>1326</v>
      </c>
      <c r="E31">
        <v>219</v>
      </c>
      <c r="F31">
        <v>1545</v>
      </c>
      <c r="G31">
        <v>10</v>
      </c>
      <c r="H31">
        <v>546</v>
      </c>
      <c r="I31">
        <v>112476</v>
      </c>
      <c r="J31">
        <v>100103.64</v>
      </c>
    </row>
    <row r="32" spans="1:10" x14ac:dyDescent="0.35">
      <c r="A32">
        <v>1</v>
      </c>
      <c r="B32">
        <v>26</v>
      </c>
      <c r="C32">
        <v>600</v>
      </c>
      <c r="D32">
        <v>1326</v>
      </c>
      <c r="E32">
        <v>219</v>
      </c>
      <c r="F32">
        <v>1545</v>
      </c>
      <c r="G32">
        <v>10</v>
      </c>
      <c r="H32">
        <v>546</v>
      </c>
      <c r="I32">
        <v>112476</v>
      </c>
      <c r="J32">
        <v>100103.64</v>
      </c>
    </row>
    <row r="33" spans="1:10" x14ac:dyDescent="0.35">
      <c r="A33">
        <v>1</v>
      </c>
      <c r="B33">
        <v>23</v>
      </c>
      <c r="C33">
        <v>600</v>
      </c>
      <c r="D33">
        <v>1326</v>
      </c>
      <c r="E33">
        <v>219</v>
      </c>
      <c r="F33">
        <v>1545</v>
      </c>
      <c r="G33">
        <v>10</v>
      </c>
      <c r="H33">
        <v>483</v>
      </c>
      <c r="I33">
        <v>99498</v>
      </c>
      <c r="J33">
        <v>88553.22</v>
      </c>
    </row>
    <row r="34" spans="1:10" x14ac:dyDescent="0.35">
      <c r="A34">
        <v>1</v>
      </c>
      <c r="B34">
        <v>20</v>
      </c>
      <c r="C34">
        <v>600</v>
      </c>
      <c r="D34">
        <v>1326</v>
      </c>
      <c r="E34">
        <v>219</v>
      </c>
      <c r="F34">
        <v>1545</v>
      </c>
      <c r="G34">
        <v>11</v>
      </c>
      <c r="H34">
        <v>420</v>
      </c>
      <c r="I34">
        <v>86520</v>
      </c>
      <c r="J34">
        <v>77002.8</v>
      </c>
    </row>
    <row r="35" spans="1:10" x14ac:dyDescent="0.35">
      <c r="A35">
        <v>3</v>
      </c>
      <c r="B35">
        <v>15</v>
      </c>
      <c r="C35">
        <v>0</v>
      </c>
      <c r="D35">
        <v>5482</v>
      </c>
      <c r="E35">
        <v>575</v>
      </c>
      <c r="F35">
        <v>6057</v>
      </c>
      <c r="G35">
        <v>11</v>
      </c>
      <c r="H35">
        <v>315</v>
      </c>
      <c r="I35">
        <v>194670</v>
      </c>
      <c r="J35">
        <v>173256.3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D0563-251D-4AD4-8D53-26FB9EA5BEDD}">
  <dimension ref="A3:E14"/>
  <sheetViews>
    <sheetView workbookViewId="0">
      <selection activeCell="AO24" sqref="AO24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4" width="6.81640625" bestFit="1" customWidth="1"/>
    <col min="5" max="6" width="10.81640625" bestFit="1" customWidth="1"/>
    <col min="7" max="7" width="6.81640625" bestFit="1" customWidth="1"/>
    <col min="8" max="8" width="5.81640625" bestFit="1" customWidth="1"/>
    <col min="9" max="9" width="4.54296875" bestFit="1" customWidth="1"/>
    <col min="10" max="10" width="10.54296875" bestFit="1" customWidth="1"/>
    <col min="11" max="11" width="10.81640625" bestFit="1" customWidth="1"/>
    <col min="12" max="12" width="4.81640625" bestFit="1" customWidth="1"/>
    <col min="13" max="13" width="6.54296875" bestFit="1" customWidth="1"/>
    <col min="14" max="16" width="4.81640625" bestFit="1" customWidth="1"/>
    <col min="17" max="17" width="6.54296875" bestFit="1" customWidth="1"/>
    <col min="18" max="20" width="4.81640625" bestFit="1" customWidth="1"/>
    <col min="21" max="21" width="6.54296875" bestFit="1" customWidth="1"/>
    <col min="22" max="24" width="4.81640625" bestFit="1" customWidth="1"/>
    <col min="25" max="25" width="6.54296875" bestFit="1" customWidth="1"/>
    <col min="26" max="28" width="4.81640625" bestFit="1" customWidth="1"/>
    <col min="29" max="29" width="6.54296875" bestFit="1" customWidth="1"/>
    <col min="30" max="32" width="4.81640625" bestFit="1" customWidth="1"/>
    <col min="33" max="33" width="7.54296875" bestFit="1" customWidth="1"/>
    <col min="34" max="35" width="4.81640625" bestFit="1" customWidth="1"/>
    <col min="36" max="36" width="7.54296875" bestFit="1" customWidth="1"/>
    <col min="37" max="37" width="8.26953125" bestFit="1" customWidth="1"/>
    <col min="38" max="38" width="11.1796875" bestFit="1" customWidth="1"/>
    <col min="39" max="39" width="10.7265625" bestFit="1" customWidth="1"/>
    <col min="40" max="40" width="9.08984375" bestFit="1" customWidth="1"/>
    <col min="41" max="41" width="9.54296875" bestFit="1" customWidth="1"/>
    <col min="42" max="42" width="11.1796875" bestFit="1" customWidth="1"/>
    <col min="43" max="43" width="10.7265625" bestFit="1" customWidth="1"/>
  </cols>
  <sheetData>
    <row r="3" spans="1:5" x14ac:dyDescent="0.35">
      <c r="A3" s="1" t="s">
        <v>31</v>
      </c>
      <c r="B3" s="1" t="s">
        <v>28</v>
      </c>
    </row>
    <row r="4" spans="1:5" x14ac:dyDescent="0.35">
      <c r="A4" s="1" t="s">
        <v>26</v>
      </c>
      <c r="B4">
        <v>2021</v>
      </c>
      <c r="C4">
        <v>2022</v>
      </c>
      <c r="D4">
        <v>2023</v>
      </c>
      <c r="E4" t="s">
        <v>27</v>
      </c>
    </row>
    <row r="5" spans="1:5" x14ac:dyDescent="0.35">
      <c r="A5" s="2">
        <v>3</v>
      </c>
      <c r="B5">
        <v>34800</v>
      </c>
      <c r="C5">
        <v>35780</v>
      </c>
      <c r="D5">
        <v>43326</v>
      </c>
      <c r="E5">
        <v>113906</v>
      </c>
    </row>
    <row r="6" spans="1:5" x14ac:dyDescent="0.35">
      <c r="A6" s="2">
        <v>4</v>
      </c>
      <c r="B6">
        <v>53581.25</v>
      </c>
      <c r="C6">
        <v>97320</v>
      </c>
      <c r="D6">
        <v>92188</v>
      </c>
      <c r="E6">
        <v>243089.25</v>
      </c>
    </row>
    <row r="7" spans="1:5" x14ac:dyDescent="0.35">
      <c r="A7" s="2">
        <v>5</v>
      </c>
      <c r="B7">
        <v>65320</v>
      </c>
      <c r="C7">
        <v>26700</v>
      </c>
      <c r="D7">
        <v>49950</v>
      </c>
      <c r="E7">
        <v>141970</v>
      </c>
    </row>
    <row r="8" spans="1:5" x14ac:dyDescent="0.35">
      <c r="A8" s="2">
        <v>6</v>
      </c>
      <c r="B8">
        <v>48450</v>
      </c>
      <c r="C8">
        <v>77340</v>
      </c>
      <c r="D8">
        <v>46260</v>
      </c>
      <c r="E8">
        <v>172050</v>
      </c>
    </row>
    <row r="9" spans="1:5" x14ac:dyDescent="0.35">
      <c r="A9" s="2">
        <v>7</v>
      </c>
      <c r="B9">
        <v>77700</v>
      </c>
      <c r="C9">
        <v>92920</v>
      </c>
      <c r="D9">
        <v>60440</v>
      </c>
      <c r="E9">
        <v>231060</v>
      </c>
    </row>
    <row r="10" spans="1:5" x14ac:dyDescent="0.35">
      <c r="A10" s="2">
        <v>8</v>
      </c>
      <c r="B10">
        <v>53370</v>
      </c>
      <c r="C10">
        <v>60760</v>
      </c>
      <c r="D10">
        <v>67130</v>
      </c>
      <c r="E10">
        <v>181260</v>
      </c>
    </row>
    <row r="11" spans="1:5" x14ac:dyDescent="0.35">
      <c r="A11" s="2">
        <v>9</v>
      </c>
      <c r="B11">
        <v>50520</v>
      </c>
      <c r="C11">
        <v>40570</v>
      </c>
      <c r="D11">
        <v>46560</v>
      </c>
      <c r="E11">
        <v>137650</v>
      </c>
    </row>
    <row r="12" spans="1:5" x14ac:dyDescent="0.35">
      <c r="A12" s="2">
        <v>10</v>
      </c>
      <c r="B12">
        <v>29400</v>
      </c>
      <c r="C12">
        <v>39600</v>
      </c>
      <c r="D12">
        <v>57030</v>
      </c>
      <c r="E12">
        <v>126030</v>
      </c>
    </row>
    <row r="13" spans="1:5" x14ac:dyDescent="0.35">
      <c r="A13" s="2">
        <v>11</v>
      </c>
      <c r="B13">
        <v>12000</v>
      </c>
      <c r="C13">
        <v>20400</v>
      </c>
      <c r="E13">
        <v>32400</v>
      </c>
    </row>
    <row r="14" spans="1:5" x14ac:dyDescent="0.35">
      <c r="A14" s="2" t="s">
        <v>27</v>
      </c>
      <c r="B14">
        <v>425141.25</v>
      </c>
      <c r="C14">
        <v>491390</v>
      </c>
      <c r="D14">
        <v>462884</v>
      </c>
      <c r="E14">
        <v>1379415.25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9BB1-A643-49E0-AD90-072266061C54}">
  <dimension ref="A2:Q15"/>
  <sheetViews>
    <sheetView workbookViewId="0">
      <selection activeCell="L16" sqref="L16"/>
    </sheetView>
  </sheetViews>
  <sheetFormatPr defaultRowHeight="14.5" x14ac:dyDescent="0.35"/>
  <cols>
    <col min="1" max="1" width="17.90625" bestFit="1" customWidth="1"/>
    <col min="2" max="2" width="15.26953125" bestFit="1" customWidth="1"/>
    <col min="3" max="3" width="8.81640625" bestFit="1" customWidth="1"/>
    <col min="4" max="4" width="11.81640625" bestFit="1" customWidth="1"/>
    <col min="5" max="5" width="7.26953125" bestFit="1" customWidth="1"/>
    <col min="6" max="6" width="11.81640625" bestFit="1" customWidth="1"/>
    <col min="7" max="8" width="6.81640625" bestFit="1" customWidth="1"/>
    <col min="9" max="9" width="5.81640625" bestFit="1" customWidth="1"/>
    <col min="10" max="10" width="6.81640625" bestFit="1" customWidth="1"/>
    <col min="11" max="11" width="29" customWidth="1"/>
    <col min="12" max="12" width="23" customWidth="1"/>
    <col min="13" max="13" width="30.453125" customWidth="1"/>
    <col min="14" max="14" width="48.7265625" customWidth="1"/>
    <col min="15" max="15" width="36.1796875" customWidth="1"/>
    <col min="16" max="16" width="34.36328125" customWidth="1"/>
    <col min="17" max="17" width="54.7265625" customWidth="1"/>
    <col min="18" max="18" width="11.81640625" bestFit="1" customWidth="1"/>
    <col min="19" max="19" width="6.6328125" bestFit="1" customWidth="1"/>
    <col min="20" max="21" width="6.81640625" bestFit="1" customWidth="1"/>
    <col min="22" max="24" width="5.81640625" bestFit="1" customWidth="1"/>
    <col min="25" max="25" width="6.81640625" bestFit="1" customWidth="1"/>
    <col min="26" max="26" width="5.81640625" bestFit="1" customWidth="1"/>
    <col min="27" max="35" width="6.81640625" bestFit="1" customWidth="1"/>
    <col min="36" max="36" width="9.54296875" bestFit="1" customWidth="1"/>
    <col min="37" max="37" width="6.6328125" bestFit="1" customWidth="1"/>
    <col min="38" max="38" width="6.81640625" bestFit="1" customWidth="1"/>
    <col min="39" max="39" width="5.81640625" bestFit="1" customWidth="1"/>
    <col min="40" max="40" width="6.81640625" bestFit="1" customWidth="1"/>
    <col min="41" max="41" width="5.81640625" bestFit="1" customWidth="1"/>
    <col min="42" max="42" width="8.81640625" bestFit="1" customWidth="1"/>
    <col min="43" max="43" width="6.81640625" bestFit="1" customWidth="1"/>
    <col min="44" max="44" width="8.81640625" bestFit="1" customWidth="1"/>
    <col min="45" max="50" width="6.81640625" bestFit="1" customWidth="1"/>
    <col min="51" max="51" width="11.81640625" bestFit="1" customWidth="1"/>
    <col min="52" max="52" width="7.26953125" bestFit="1" customWidth="1"/>
    <col min="53" max="53" width="9.26953125" bestFit="1" customWidth="1"/>
    <col min="54" max="54" width="11.81640625" bestFit="1" customWidth="1"/>
    <col min="55" max="55" width="5.81640625" bestFit="1" customWidth="1"/>
    <col min="56" max="56" width="6.54296875" bestFit="1" customWidth="1"/>
    <col min="57" max="57" width="5.81640625" bestFit="1" customWidth="1"/>
    <col min="58" max="59" width="7.54296875" bestFit="1" customWidth="1"/>
    <col min="60" max="60" width="5.81640625" bestFit="1" customWidth="1"/>
    <col min="61" max="61" width="6.54296875" bestFit="1" customWidth="1"/>
    <col min="62" max="62" width="5.81640625" bestFit="1" customWidth="1"/>
    <col min="63" max="63" width="6.54296875" bestFit="1" customWidth="1"/>
    <col min="64" max="69" width="6.81640625" bestFit="1" customWidth="1"/>
    <col min="70" max="71" width="5.81640625" bestFit="1" customWidth="1"/>
    <col min="72" max="72" width="6.54296875" bestFit="1" customWidth="1"/>
    <col min="73" max="73" width="5.81640625" bestFit="1" customWidth="1"/>
    <col min="74" max="75" width="7.54296875" bestFit="1" customWidth="1"/>
    <col min="76" max="76" width="5.81640625" bestFit="1" customWidth="1"/>
    <col min="77" max="77" width="6.54296875" bestFit="1" customWidth="1"/>
    <col min="78" max="86" width="6.81640625" bestFit="1" customWidth="1"/>
    <col min="87" max="88" width="7.54296875" bestFit="1" customWidth="1"/>
    <col min="89" max="90" width="6.81640625" bestFit="1" customWidth="1"/>
    <col min="91" max="91" width="5.81640625" bestFit="1" customWidth="1"/>
    <col min="92" max="92" width="6.54296875" bestFit="1" customWidth="1"/>
    <col min="93" max="94" width="6.81640625" bestFit="1" customWidth="1"/>
    <col min="95" max="95" width="5.81640625" bestFit="1" customWidth="1"/>
    <col min="96" max="100" width="6.81640625" bestFit="1" customWidth="1"/>
    <col min="101" max="101" width="5.81640625" bestFit="1" customWidth="1"/>
    <col min="102" max="102" width="6.54296875" bestFit="1" customWidth="1"/>
    <col min="103" max="104" width="6.81640625" bestFit="1" customWidth="1"/>
    <col min="105" max="105" width="11.81640625" bestFit="1" customWidth="1"/>
    <col min="106" max="106" width="5.81640625" bestFit="1" customWidth="1"/>
    <col min="107" max="107" width="6.54296875" bestFit="1" customWidth="1"/>
    <col min="108" max="108" width="5.81640625" bestFit="1" customWidth="1"/>
    <col min="109" max="110" width="6.81640625" bestFit="1" customWidth="1"/>
    <col min="111" max="111" width="5.81640625" bestFit="1" customWidth="1"/>
    <col min="112" max="112" width="6.54296875" bestFit="1" customWidth="1"/>
    <col min="113" max="116" width="6.81640625" bestFit="1" customWidth="1"/>
    <col min="117" max="118" width="5.81640625" bestFit="1" customWidth="1"/>
    <col min="119" max="119" width="7.54296875" bestFit="1" customWidth="1"/>
    <col min="120" max="120" width="9.81640625" bestFit="1" customWidth="1"/>
    <col min="121" max="127" width="6.81640625" bestFit="1" customWidth="1"/>
    <col min="128" max="128" width="7.54296875" bestFit="1" customWidth="1"/>
    <col min="129" max="132" width="6.81640625" bestFit="1" customWidth="1"/>
    <col min="133" max="133" width="7.54296875" bestFit="1" customWidth="1"/>
    <col min="134" max="144" width="6.81640625" bestFit="1" customWidth="1"/>
    <col min="145" max="145" width="7.54296875" bestFit="1" customWidth="1"/>
    <col min="146" max="146" width="11.81640625" bestFit="1" customWidth="1"/>
    <col min="147" max="148" width="6.81640625" bestFit="1" customWidth="1"/>
    <col min="149" max="149" width="7.54296875" bestFit="1" customWidth="1"/>
    <col min="150" max="158" width="6.81640625" bestFit="1" customWidth="1"/>
    <col min="159" max="159" width="8.81640625" bestFit="1" customWidth="1"/>
    <col min="160" max="165" width="6.81640625" bestFit="1" customWidth="1"/>
    <col min="166" max="166" width="7.54296875" bestFit="1" customWidth="1"/>
    <col min="167" max="167" width="8.81640625" bestFit="1" customWidth="1"/>
    <col min="168" max="171" width="6.81640625" bestFit="1" customWidth="1"/>
    <col min="172" max="172" width="7.54296875" bestFit="1" customWidth="1"/>
    <col min="173" max="174" width="6.81640625" bestFit="1" customWidth="1"/>
    <col min="175" max="175" width="7.54296875" bestFit="1" customWidth="1"/>
    <col min="176" max="177" width="6.81640625" bestFit="1" customWidth="1"/>
    <col min="178" max="178" width="7.54296875" bestFit="1" customWidth="1"/>
    <col min="179" max="180" width="6.81640625" bestFit="1" customWidth="1"/>
    <col min="181" max="181" width="7.54296875" bestFit="1" customWidth="1"/>
    <col min="182" max="183" width="6.81640625" bestFit="1" customWidth="1"/>
    <col min="184" max="184" width="7.54296875" bestFit="1" customWidth="1"/>
    <col min="185" max="186" width="6.81640625" bestFit="1" customWidth="1"/>
    <col min="187" max="187" width="7.54296875" bestFit="1" customWidth="1"/>
    <col min="188" max="189" width="6.81640625" bestFit="1" customWidth="1"/>
    <col min="190" max="190" width="7.54296875" bestFit="1" customWidth="1"/>
    <col min="191" max="193" width="7.81640625" bestFit="1" customWidth="1"/>
    <col min="194" max="194" width="8.26953125" bestFit="1" customWidth="1"/>
    <col min="195" max="195" width="11.1796875" bestFit="1" customWidth="1"/>
    <col min="196" max="196" width="10.7265625" bestFit="1" customWidth="1"/>
    <col min="197" max="197" width="11.81640625" bestFit="1" customWidth="1"/>
  </cols>
  <sheetData>
    <row r="2" spans="1:17" x14ac:dyDescent="0.35">
      <c r="K2">
        <f>6543591/3</f>
        <v>2181197</v>
      </c>
      <c r="L2">
        <f>306996/12</f>
        <v>25583</v>
      </c>
      <c r="M2">
        <f>306996*5</f>
        <v>1534980</v>
      </c>
      <c r="N2">
        <f>306996*1.4583</f>
        <v>447692.26679999998</v>
      </c>
    </row>
    <row r="3" spans="1:17" x14ac:dyDescent="0.35">
      <c r="A3" s="1" t="s">
        <v>32</v>
      </c>
      <c r="B3" s="1" t="s">
        <v>28</v>
      </c>
      <c r="K3">
        <f>2181197/5</f>
        <v>436239.4</v>
      </c>
      <c r="L3">
        <f>L2*5</f>
        <v>127915</v>
      </c>
      <c r="M3">
        <f>306996*9</f>
        <v>2762964</v>
      </c>
      <c r="N3">
        <f>447692.27*5</f>
        <v>2238461.35</v>
      </c>
      <c r="O3">
        <f>N3*10</f>
        <v>22384613.5</v>
      </c>
    </row>
    <row r="4" spans="1:17" x14ac:dyDescent="0.35">
      <c r="A4" s="1" t="s">
        <v>26</v>
      </c>
      <c r="B4">
        <v>2021</v>
      </c>
      <c r="C4">
        <v>2022</v>
      </c>
      <c r="D4">
        <v>2023</v>
      </c>
      <c r="E4" t="s">
        <v>25</v>
      </c>
      <c r="F4" t="s">
        <v>27</v>
      </c>
      <c r="L4">
        <f>25583*9</f>
        <v>230247</v>
      </c>
      <c r="N4">
        <f>447692.27*9</f>
        <v>4029230.43</v>
      </c>
      <c r="O4">
        <f>N4*10</f>
        <v>40292304.300000004</v>
      </c>
    </row>
    <row r="5" spans="1:17" x14ac:dyDescent="0.35">
      <c r="A5" s="2">
        <v>3</v>
      </c>
      <c r="B5">
        <v>135187.5</v>
      </c>
      <c r="C5">
        <v>84357</v>
      </c>
      <c r="D5">
        <v>84357</v>
      </c>
      <c r="F5">
        <v>101300.5</v>
      </c>
      <c r="Q5">
        <f>0.025*100</f>
        <v>2.5</v>
      </c>
    </row>
    <row r="6" spans="1:17" x14ac:dyDescent="0.35">
      <c r="A6" s="2">
        <v>4</v>
      </c>
      <c r="B6">
        <v>95172</v>
      </c>
      <c r="C6">
        <v>182557.2</v>
      </c>
      <c r="D6">
        <v>203322</v>
      </c>
      <c r="F6">
        <v>162058.61538461538</v>
      </c>
    </row>
    <row r="7" spans="1:17" ht="34" thickBot="1" x14ac:dyDescent="0.8">
      <c r="A7" s="2">
        <v>5</v>
      </c>
      <c r="B7">
        <v>119397.6</v>
      </c>
      <c r="C7">
        <v>77868</v>
      </c>
      <c r="D7">
        <v>122209.5</v>
      </c>
      <c r="F7">
        <v>107484.46153846153</v>
      </c>
      <c r="K7" s="3"/>
      <c r="L7" s="3"/>
      <c r="M7" s="3"/>
      <c r="N7" s="18" t="s">
        <v>63</v>
      </c>
      <c r="O7" s="3"/>
      <c r="P7" s="3"/>
      <c r="Q7" s="3"/>
    </row>
    <row r="8" spans="1:17" ht="31.5" thickBot="1" x14ac:dyDescent="0.75">
      <c r="A8" s="2">
        <v>6</v>
      </c>
      <c r="B8">
        <v>161504</v>
      </c>
      <c r="C8">
        <v>217381.5</v>
      </c>
      <c r="D8">
        <v>147084</v>
      </c>
      <c r="F8">
        <v>179529</v>
      </c>
      <c r="K8" s="4"/>
      <c r="L8" s="14" t="s">
        <v>56</v>
      </c>
      <c r="M8" s="14" t="s">
        <v>57</v>
      </c>
      <c r="N8" s="17" t="s">
        <v>60</v>
      </c>
      <c r="O8" s="17" t="s">
        <v>61</v>
      </c>
      <c r="P8" s="17" t="s">
        <v>59</v>
      </c>
      <c r="Q8" s="14" t="s">
        <v>62</v>
      </c>
    </row>
    <row r="9" spans="1:17" ht="29" thickBot="1" x14ac:dyDescent="0.7">
      <c r="A9" s="2">
        <v>7</v>
      </c>
      <c r="B9">
        <v>546806.4</v>
      </c>
      <c r="C9">
        <v>326613</v>
      </c>
      <c r="D9">
        <v>175924</v>
      </c>
      <c r="F9">
        <v>380688</v>
      </c>
      <c r="K9" s="15" t="s">
        <v>54</v>
      </c>
      <c r="L9" s="5">
        <v>22583</v>
      </c>
      <c r="M9" s="5">
        <v>306996</v>
      </c>
      <c r="N9" s="8">
        <v>447692.27</v>
      </c>
      <c r="O9" s="8">
        <v>436239.4</v>
      </c>
      <c r="P9" s="8">
        <v>4362394</v>
      </c>
      <c r="Q9" s="11">
        <f>P9*0.025</f>
        <v>109059.85</v>
      </c>
    </row>
    <row r="10" spans="1:17" ht="29" thickBot="1" x14ac:dyDescent="0.7">
      <c r="A10" s="2">
        <v>8</v>
      </c>
      <c r="B10">
        <v>124372.5</v>
      </c>
      <c r="C10">
        <v>106419.6</v>
      </c>
      <c r="D10">
        <v>118965</v>
      </c>
      <c r="F10">
        <v>115803.69230769231</v>
      </c>
      <c r="K10" s="16" t="s">
        <v>55</v>
      </c>
      <c r="L10" s="6">
        <v>127915</v>
      </c>
      <c r="M10" s="6">
        <v>1534980</v>
      </c>
      <c r="N10" s="9">
        <v>2238461.35</v>
      </c>
      <c r="O10" s="9">
        <v>2181197</v>
      </c>
      <c r="P10" s="9">
        <v>21811970</v>
      </c>
      <c r="Q10" s="12">
        <f>P10*0.025</f>
        <v>545299.25</v>
      </c>
    </row>
    <row r="11" spans="1:17" ht="29" thickBot="1" x14ac:dyDescent="0.7">
      <c r="A11" s="2">
        <v>9</v>
      </c>
      <c r="B11">
        <v>170877</v>
      </c>
      <c r="C11">
        <v>92057</v>
      </c>
      <c r="D11">
        <v>158620</v>
      </c>
      <c r="F11">
        <v>143553.9</v>
      </c>
      <c r="K11" s="15" t="s">
        <v>58</v>
      </c>
      <c r="L11" s="7">
        <v>230247</v>
      </c>
      <c r="M11" s="7">
        <v>2762964</v>
      </c>
      <c r="N11" s="10">
        <v>4029230.43</v>
      </c>
      <c r="O11" s="10">
        <v>3926154.6</v>
      </c>
      <c r="P11" s="10">
        <v>40292304.299999997</v>
      </c>
      <c r="Q11" s="13">
        <f>P11*0.025</f>
        <v>1007307.6074999999</v>
      </c>
    </row>
    <row r="12" spans="1:17" x14ac:dyDescent="0.35">
      <c r="A12" s="2">
        <v>10</v>
      </c>
      <c r="B12">
        <v>108150</v>
      </c>
      <c r="C12">
        <v>71379</v>
      </c>
      <c r="D12">
        <v>124372.5</v>
      </c>
      <c r="F12">
        <v>100677.81818181818</v>
      </c>
    </row>
    <row r="13" spans="1:17" x14ac:dyDescent="0.35">
      <c r="A13" s="2">
        <v>11</v>
      </c>
      <c r="B13">
        <v>140595</v>
      </c>
      <c r="C13">
        <v>73542</v>
      </c>
      <c r="F13">
        <v>107068.5</v>
      </c>
      <c r="O13">
        <f>436239.4*9</f>
        <v>3926154.6</v>
      </c>
    </row>
    <row r="14" spans="1:17" x14ac:dyDescent="0.35">
      <c r="A14" s="2" t="s">
        <v>6</v>
      </c>
      <c r="E14" t="e">
        <v>#DIV/0!</v>
      </c>
      <c r="F14" t="e">
        <v>#DIV/0!</v>
      </c>
    </row>
    <row r="15" spans="1:17" x14ac:dyDescent="0.35">
      <c r="A15" s="2" t="s">
        <v>27</v>
      </c>
      <c r="B15">
        <v>191870.82352941178</v>
      </c>
      <c r="C15">
        <v>142243.79999999999</v>
      </c>
      <c r="D15">
        <v>139923.72413793104</v>
      </c>
      <c r="E15" t="e">
        <v>#DIV/0!</v>
      </c>
      <c r="F15">
        <v>158774.78571428571</v>
      </c>
    </row>
  </sheetData>
  <phoneticPr fontId="6" type="noConversion"/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653C-78E9-4364-9739-D4A8DA9A9BD3}">
  <dimension ref="A3:E44"/>
  <sheetViews>
    <sheetView workbookViewId="0">
      <selection activeCell="X8" sqref="X8"/>
    </sheetView>
  </sheetViews>
  <sheetFormatPr defaultRowHeight="14.5" x14ac:dyDescent="0.35"/>
  <cols>
    <col min="1" max="1" width="12.36328125" bestFit="1" customWidth="1"/>
    <col min="2" max="5" width="11.81640625" bestFit="1" customWidth="1"/>
  </cols>
  <sheetData>
    <row r="3" spans="1:5" x14ac:dyDescent="0.35">
      <c r="A3" s="1" t="s">
        <v>35</v>
      </c>
      <c r="B3" s="1" t="s">
        <v>28</v>
      </c>
    </row>
    <row r="4" spans="1:5" x14ac:dyDescent="0.35">
      <c r="A4" s="1" t="s">
        <v>26</v>
      </c>
      <c r="B4">
        <v>2021</v>
      </c>
      <c r="C4">
        <v>2022</v>
      </c>
      <c r="D4">
        <v>2023</v>
      </c>
      <c r="E4" t="s">
        <v>27</v>
      </c>
    </row>
    <row r="5" spans="1:5" x14ac:dyDescent="0.35">
      <c r="A5" s="2">
        <v>3</v>
      </c>
      <c r="B5">
        <v>6675.9259259259261</v>
      </c>
      <c r="C5">
        <v>11635.448275862069</v>
      </c>
      <c r="D5">
        <v>6616.2352941176468</v>
      </c>
      <c r="E5">
        <v>24927.609495905643</v>
      </c>
    </row>
    <row r="6" spans="1:5" x14ac:dyDescent="0.35">
      <c r="A6" s="2">
        <v>4</v>
      </c>
      <c r="B6">
        <v>4326</v>
      </c>
      <c r="C6">
        <v>7801.5897435897432</v>
      </c>
      <c r="D6">
        <v>7745.6</v>
      </c>
      <c r="E6">
        <v>19873.189743589741</v>
      </c>
    </row>
    <row r="7" spans="1:5" x14ac:dyDescent="0.35">
      <c r="A7" s="2">
        <v>5</v>
      </c>
      <c r="B7">
        <v>6218.625</v>
      </c>
      <c r="C7">
        <v>6229.44</v>
      </c>
      <c r="D7">
        <v>5313.45652173913</v>
      </c>
      <c r="E7">
        <v>17761.521521739131</v>
      </c>
    </row>
    <row r="8" spans="1:5" x14ac:dyDescent="0.35">
      <c r="A8" s="2">
        <v>6</v>
      </c>
      <c r="B8">
        <v>7454.0307692307688</v>
      </c>
      <c r="C8">
        <v>8442</v>
      </c>
      <c r="D8">
        <v>7004</v>
      </c>
      <c r="E8">
        <v>22900.030769230769</v>
      </c>
    </row>
    <row r="9" spans="1:5" x14ac:dyDescent="0.35">
      <c r="A9" s="2">
        <v>7</v>
      </c>
      <c r="B9">
        <v>15022.153846153846</v>
      </c>
      <c r="C9">
        <v>13752.126315789474</v>
      </c>
      <c r="D9">
        <v>8652</v>
      </c>
      <c r="E9">
        <v>37426.280161943316</v>
      </c>
    </row>
    <row r="10" spans="1:5" x14ac:dyDescent="0.35">
      <c r="A10" s="2">
        <v>8</v>
      </c>
      <c r="B10">
        <v>5292.4468085106382</v>
      </c>
      <c r="C10">
        <v>5601.0315789473689</v>
      </c>
      <c r="D10">
        <v>5469.6551724137935</v>
      </c>
      <c r="E10">
        <v>16363.1335598718</v>
      </c>
    </row>
    <row r="11" spans="1:5" x14ac:dyDescent="0.35">
      <c r="A11" s="2">
        <v>9</v>
      </c>
      <c r="B11">
        <v>7429.434782608696</v>
      </c>
      <c r="C11">
        <v>4315.171875</v>
      </c>
      <c r="D11">
        <v>7435.3125</v>
      </c>
      <c r="E11">
        <v>19179.919157608696</v>
      </c>
    </row>
    <row r="12" spans="1:5" x14ac:dyDescent="0.35">
      <c r="A12" s="2">
        <v>10</v>
      </c>
      <c r="B12">
        <v>4326</v>
      </c>
      <c r="C12">
        <v>4326</v>
      </c>
      <c r="D12">
        <v>5292.4468085106382</v>
      </c>
      <c r="E12">
        <v>13944.446808510638</v>
      </c>
    </row>
    <row r="13" spans="1:5" x14ac:dyDescent="0.35">
      <c r="A13" s="2">
        <v>11</v>
      </c>
      <c r="B13">
        <v>8034</v>
      </c>
      <c r="C13">
        <v>4326</v>
      </c>
      <c r="E13">
        <v>12360</v>
      </c>
    </row>
    <row r="14" spans="1:5" x14ac:dyDescent="0.35">
      <c r="A14" s="2" t="s">
        <v>27</v>
      </c>
      <c r="B14">
        <v>64778.61713242987</v>
      </c>
      <c r="C14">
        <v>66428.80778918865</v>
      </c>
      <c r="D14">
        <v>53528.706296781209</v>
      </c>
      <c r="E14">
        <v>184736.13121839974</v>
      </c>
    </row>
    <row r="40" spans="1:2" x14ac:dyDescent="0.35">
      <c r="A40" s="1" t="s">
        <v>26</v>
      </c>
      <c r="B40" t="s">
        <v>36</v>
      </c>
    </row>
    <row r="41" spans="1:2" x14ac:dyDescent="0.35">
      <c r="A41" s="2">
        <v>2021</v>
      </c>
      <c r="B41">
        <v>64778.61713242987</v>
      </c>
    </row>
    <row r="42" spans="1:2" x14ac:dyDescent="0.35">
      <c r="A42" s="2">
        <v>2022</v>
      </c>
      <c r="B42">
        <v>66428</v>
      </c>
    </row>
    <row r="43" spans="1:2" x14ac:dyDescent="0.35">
      <c r="A43" s="2">
        <v>2023</v>
      </c>
      <c r="B43">
        <v>53528</v>
      </c>
    </row>
    <row r="44" spans="1:2" x14ac:dyDescent="0.35">
      <c r="A44" s="2" t="s">
        <v>27</v>
      </c>
      <c r="B44">
        <v>184734.61713242988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92856-6979-4F9E-80C4-F50B66971314}">
  <dimension ref="A3:E5"/>
  <sheetViews>
    <sheetView workbookViewId="0">
      <selection activeCell="Y38" sqref="Y38"/>
    </sheetView>
  </sheetViews>
  <sheetFormatPr defaultRowHeight="14.5" x14ac:dyDescent="0.35"/>
  <cols>
    <col min="1" max="1" width="15.1796875" bestFit="1" customWidth="1"/>
    <col min="2" max="2" width="15.26953125" bestFit="1" customWidth="1"/>
    <col min="3" max="5" width="11.81640625" bestFit="1" customWidth="1"/>
  </cols>
  <sheetData>
    <row r="3" spans="1:5" x14ac:dyDescent="0.35">
      <c r="B3" s="1" t="s">
        <v>28</v>
      </c>
    </row>
    <row r="4" spans="1:5" x14ac:dyDescent="0.35">
      <c r="B4">
        <v>2021</v>
      </c>
      <c r="C4">
        <v>2022</v>
      </c>
      <c r="D4">
        <v>2023</v>
      </c>
      <c r="E4" t="s">
        <v>27</v>
      </c>
    </row>
    <row r="5" spans="1:5" x14ac:dyDescent="0.35">
      <c r="A5" t="s">
        <v>37</v>
      </c>
      <c r="B5">
        <v>8073.772277227723</v>
      </c>
      <c r="C5">
        <v>7397.5230312035665</v>
      </c>
      <c r="D5">
        <v>6576.6418152350079</v>
      </c>
      <c r="E5">
        <v>22047.937123666299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FB7D-9743-42F1-B555-D7C5F16BE656}">
  <dimension ref="A3:E21"/>
  <sheetViews>
    <sheetView workbookViewId="0">
      <selection activeCell="G30" sqref="G30"/>
    </sheetView>
  </sheetViews>
  <sheetFormatPr defaultRowHeight="14.5" x14ac:dyDescent="0.35"/>
  <cols>
    <col min="1" max="1" width="15.6328125" customWidth="1"/>
    <col min="2" max="2" width="21.1796875" customWidth="1"/>
    <col min="3" max="3" width="30.7265625" customWidth="1"/>
    <col min="4" max="4" width="31.08984375" customWidth="1"/>
    <col min="5" max="5" width="30.36328125" customWidth="1"/>
  </cols>
  <sheetData>
    <row r="3" spans="1:2" x14ac:dyDescent="0.35">
      <c r="A3" s="1" t="s">
        <v>26</v>
      </c>
      <c r="B3" t="s">
        <v>42</v>
      </c>
    </row>
    <row r="4" spans="1:2" x14ac:dyDescent="0.35">
      <c r="A4" s="2">
        <v>2021</v>
      </c>
      <c r="B4">
        <v>10</v>
      </c>
    </row>
    <row r="5" spans="1:2" x14ac:dyDescent="0.35">
      <c r="A5" s="2">
        <v>2022</v>
      </c>
      <c r="B5">
        <v>10</v>
      </c>
    </row>
    <row r="6" spans="1:2" x14ac:dyDescent="0.35">
      <c r="A6" s="2">
        <v>2023</v>
      </c>
      <c r="B6">
        <v>16</v>
      </c>
    </row>
    <row r="7" spans="1:2" x14ac:dyDescent="0.35">
      <c r="A7" s="2" t="s">
        <v>27</v>
      </c>
      <c r="B7">
        <v>36</v>
      </c>
    </row>
    <row r="18" spans="2:5" ht="26" x14ac:dyDescent="0.6">
      <c r="B18" s="3"/>
      <c r="C18" s="29" t="s">
        <v>64</v>
      </c>
      <c r="D18" s="29" t="s">
        <v>65</v>
      </c>
      <c r="E18" s="3"/>
    </row>
    <row r="19" spans="2:5" ht="23.5" x14ac:dyDescent="0.55000000000000004">
      <c r="B19" s="19"/>
      <c r="C19" s="20" t="s">
        <v>47</v>
      </c>
      <c r="D19" s="20" t="s">
        <v>49</v>
      </c>
      <c r="E19" s="20" t="s">
        <v>48</v>
      </c>
    </row>
    <row r="20" spans="2:5" ht="21" x14ac:dyDescent="0.5">
      <c r="B20" s="21" t="s">
        <v>45</v>
      </c>
      <c r="C20" s="22" t="s">
        <v>52</v>
      </c>
      <c r="D20" s="23" t="s">
        <v>53</v>
      </c>
      <c r="E20" s="24" t="s">
        <v>50</v>
      </c>
    </row>
    <row r="21" spans="2:5" ht="21" x14ac:dyDescent="0.5">
      <c r="B21" s="25" t="s">
        <v>46</v>
      </c>
      <c r="C21" s="26">
        <v>75000</v>
      </c>
      <c r="D21" s="27">
        <v>48</v>
      </c>
      <c r="E21" s="28" t="s">
        <v>51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7A989-44FD-4752-961B-0F2FC62395E7}">
  <dimension ref="A3:B6"/>
  <sheetViews>
    <sheetView workbookViewId="0">
      <selection activeCell="A4" sqref="A4:B5"/>
    </sheetView>
  </sheetViews>
  <sheetFormatPr defaultRowHeight="14.5" x14ac:dyDescent="0.35"/>
  <cols>
    <col min="1" max="1" width="12.36328125" bestFit="1" customWidth="1"/>
    <col min="2" max="2" width="17.90625" bestFit="1" customWidth="1"/>
    <col min="3" max="3" width="4.81640625" bestFit="1" customWidth="1"/>
    <col min="4" max="4" width="10.7265625" bestFit="1" customWidth="1"/>
  </cols>
  <sheetData>
    <row r="3" spans="1:2" x14ac:dyDescent="0.35">
      <c r="A3" s="1" t="s">
        <v>26</v>
      </c>
      <c r="B3" t="s">
        <v>44</v>
      </c>
    </row>
    <row r="4" spans="1:2" x14ac:dyDescent="0.35">
      <c r="A4" s="2">
        <v>2021</v>
      </c>
      <c r="B4">
        <v>2</v>
      </c>
    </row>
    <row r="5" spans="1:2" x14ac:dyDescent="0.35">
      <c r="A5" s="2">
        <v>2022</v>
      </c>
      <c r="B5">
        <v>2</v>
      </c>
    </row>
    <row r="6" spans="1:2" x14ac:dyDescent="0.35">
      <c r="A6" s="2" t="s">
        <v>27</v>
      </c>
      <c r="B6">
        <v>4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D0C24-AA2E-4D04-BD9B-DBE0DEF617A5}">
  <dimension ref="A1:W19"/>
  <sheetViews>
    <sheetView workbookViewId="0">
      <selection activeCell="K15" sqref="K15:L17"/>
    </sheetView>
  </sheetViews>
  <sheetFormatPr defaultRowHeight="14.5" x14ac:dyDescent="0.35"/>
  <cols>
    <col min="1" max="1" width="17" bestFit="1" customWidth="1"/>
    <col min="2" max="2" width="15.26953125" bestFit="1" customWidth="1"/>
    <col min="3" max="4" width="1.81640625" bestFit="1" customWidth="1"/>
    <col min="5" max="5" width="2.81640625" bestFit="1" customWidth="1"/>
    <col min="6" max="6" width="10.7265625" bestFit="1" customWidth="1"/>
    <col min="7" max="8" width="1.81640625" bestFit="1" customWidth="1"/>
    <col min="9" max="9" width="2.81640625" bestFit="1" customWidth="1"/>
    <col min="10" max="11" width="10.7265625" bestFit="1" customWidth="1"/>
    <col min="21" max="21" width="12.36328125" bestFit="1" customWidth="1"/>
    <col min="22" max="22" width="17.7265625" bestFit="1" customWidth="1"/>
  </cols>
  <sheetData>
    <row r="1" spans="1:23" x14ac:dyDescent="0.35">
      <c r="A1" s="1" t="s">
        <v>0</v>
      </c>
      <c r="B1" s="2">
        <v>3</v>
      </c>
    </row>
    <row r="3" spans="1:23" x14ac:dyDescent="0.35">
      <c r="A3" s="1" t="s">
        <v>30</v>
      </c>
      <c r="B3" s="1" t="s">
        <v>28</v>
      </c>
    </row>
    <row r="4" spans="1:23" x14ac:dyDescent="0.35">
      <c r="A4" s="1" t="s">
        <v>26</v>
      </c>
      <c r="B4">
        <v>3</v>
      </c>
      <c r="C4">
        <v>6</v>
      </c>
      <c r="D4">
        <v>7</v>
      </c>
      <c r="E4">
        <v>11</v>
      </c>
      <c r="F4" t="s">
        <v>27</v>
      </c>
    </row>
    <row r="5" spans="1:23" x14ac:dyDescent="0.35">
      <c r="A5" s="2">
        <v>2021</v>
      </c>
      <c r="B5">
        <v>1</v>
      </c>
      <c r="E5">
        <v>1</v>
      </c>
      <c r="F5">
        <v>2</v>
      </c>
    </row>
    <row r="6" spans="1:23" x14ac:dyDescent="0.35">
      <c r="A6" s="2">
        <v>2022</v>
      </c>
      <c r="C6">
        <v>1</v>
      </c>
      <c r="D6">
        <v>1</v>
      </c>
      <c r="F6">
        <v>2</v>
      </c>
    </row>
    <row r="7" spans="1:23" x14ac:dyDescent="0.35">
      <c r="A7" s="2" t="s">
        <v>27</v>
      </c>
      <c r="B7">
        <v>1</v>
      </c>
      <c r="C7">
        <v>1</v>
      </c>
      <c r="D7">
        <v>1</v>
      </c>
      <c r="E7">
        <v>1</v>
      </c>
      <c r="F7">
        <v>4</v>
      </c>
    </row>
    <row r="10" spans="1:23" x14ac:dyDescent="0.35">
      <c r="V10" t="s">
        <v>38</v>
      </c>
      <c r="W10" t="s">
        <v>25</v>
      </c>
    </row>
    <row r="11" spans="1:23" x14ac:dyDescent="0.35">
      <c r="V11">
        <v>20</v>
      </c>
      <c r="W11">
        <v>2021</v>
      </c>
    </row>
    <row r="12" spans="1:23" x14ac:dyDescent="0.35">
      <c r="V12">
        <v>14</v>
      </c>
      <c r="W12">
        <v>2022</v>
      </c>
    </row>
    <row r="13" spans="1:23" x14ac:dyDescent="0.35">
      <c r="V13">
        <v>13</v>
      </c>
      <c r="W13">
        <v>2023</v>
      </c>
    </row>
    <row r="15" spans="1:23" x14ac:dyDescent="0.35">
      <c r="K15" t="s">
        <v>40</v>
      </c>
      <c r="L15" t="s">
        <v>43</v>
      </c>
      <c r="O15" t="s">
        <v>40</v>
      </c>
      <c r="P15" t="s">
        <v>41</v>
      </c>
      <c r="U15" s="1" t="s">
        <v>26</v>
      </c>
      <c r="V15" t="s">
        <v>39</v>
      </c>
    </row>
    <row r="16" spans="1:23" x14ac:dyDescent="0.35">
      <c r="K16">
        <v>2021</v>
      </c>
      <c r="L16">
        <v>2</v>
      </c>
      <c r="O16">
        <v>2021</v>
      </c>
      <c r="P16">
        <v>10</v>
      </c>
      <c r="U16" s="2">
        <v>2021</v>
      </c>
      <c r="V16">
        <v>20</v>
      </c>
    </row>
    <row r="17" spans="11:22" x14ac:dyDescent="0.35">
      <c r="K17">
        <v>2022</v>
      </c>
      <c r="L17">
        <v>2</v>
      </c>
      <c r="O17">
        <v>2022</v>
      </c>
      <c r="P17">
        <v>10</v>
      </c>
      <c r="U17" s="2">
        <v>2022</v>
      </c>
      <c r="V17">
        <v>14</v>
      </c>
    </row>
    <row r="18" spans="11:22" x14ac:dyDescent="0.35">
      <c r="O18">
        <v>2023</v>
      </c>
      <c r="P18">
        <v>16</v>
      </c>
      <c r="U18" s="2">
        <v>2023</v>
      </c>
      <c r="V18">
        <v>13</v>
      </c>
    </row>
    <row r="19" spans="11:22" x14ac:dyDescent="0.35">
      <c r="U19" s="2" t="s">
        <v>27</v>
      </c>
      <c r="V19">
        <v>47</v>
      </c>
    </row>
  </sheetData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12E6B-1F25-4D06-B93E-03E55EDBD943}">
  <dimension ref="A3:D66"/>
  <sheetViews>
    <sheetView topLeftCell="A34" workbookViewId="0">
      <selection activeCell="B58" sqref="B58:C64"/>
    </sheetView>
  </sheetViews>
  <sheetFormatPr defaultRowHeight="14.5" x14ac:dyDescent="0.35"/>
  <cols>
    <col min="1" max="1" width="12.36328125" bestFit="1" customWidth="1"/>
    <col min="2" max="2" width="15.54296875" bestFit="1" customWidth="1"/>
    <col min="3" max="3" width="18.26953125" bestFit="1" customWidth="1"/>
    <col min="4" max="4" width="18.81640625" bestFit="1" customWidth="1"/>
    <col min="5" max="5" width="15.54296875" bestFit="1" customWidth="1"/>
    <col min="6" max="6" width="18.26953125" bestFit="1" customWidth="1"/>
    <col min="7" max="7" width="18.81640625" bestFit="1" customWidth="1"/>
    <col min="8" max="8" width="15.54296875" bestFit="1" customWidth="1"/>
    <col min="9" max="9" width="18.26953125" bestFit="1" customWidth="1"/>
    <col min="10" max="10" width="18.81640625" bestFit="1" customWidth="1"/>
    <col min="11" max="11" width="20.36328125" bestFit="1" customWidth="1"/>
    <col min="12" max="12" width="23.08984375" bestFit="1" customWidth="1"/>
    <col min="13" max="13" width="23.6328125" bestFit="1" customWidth="1"/>
  </cols>
  <sheetData>
    <row r="3" spans="1:4" x14ac:dyDescent="0.35">
      <c r="A3" s="1" t="s">
        <v>26</v>
      </c>
      <c r="B3" t="s">
        <v>74</v>
      </c>
      <c r="C3" t="s">
        <v>75</v>
      </c>
      <c r="D3" t="s">
        <v>76</v>
      </c>
    </row>
    <row r="4" spans="1:4" x14ac:dyDescent="0.35">
      <c r="A4" s="2">
        <v>2021</v>
      </c>
      <c r="B4" s="30">
        <v>163090</v>
      </c>
      <c r="C4" s="30">
        <v>142701</v>
      </c>
      <c r="D4" s="30">
        <v>166484</v>
      </c>
    </row>
    <row r="5" spans="1:4" x14ac:dyDescent="0.35">
      <c r="A5" s="2">
        <v>2022</v>
      </c>
      <c r="B5" s="30">
        <v>124463</v>
      </c>
      <c r="C5" s="30">
        <v>108903</v>
      </c>
      <c r="D5" s="30">
        <v>127053</v>
      </c>
    </row>
    <row r="6" spans="1:4" x14ac:dyDescent="0.35">
      <c r="A6" s="2">
        <v>2023</v>
      </c>
      <c r="B6" s="30">
        <v>101445</v>
      </c>
      <c r="C6" s="30">
        <v>88762</v>
      </c>
      <c r="D6" s="30">
        <v>103556</v>
      </c>
    </row>
    <row r="7" spans="1:4" x14ac:dyDescent="0.35">
      <c r="A7" s="2" t="s">
        <v>27</v>
      </c>
      <c r="B7" s="30">
        <v>388998</v>
      </c>
      <c r="C7" s="30">
        <v>340366</v>
      </c>
      <c r="D7" s="30">
        <v>397093</v>
      </c>
    </row>
    <row r="58" spans="2:3" x14ac:dyDescent="0.35">
      <c r="B58" t="s">
        <v>77</v>
      </c>
      <c r="C58">
        <f>2312684+2623703+2966546</f>
        <v>7902933</v>
      </c>
    </row>
    <row r="59" spans="2:3" x14ac:dyDescent="0.35">
      <c r="B59" t="s">
        <v>78</v>
      </c>
      <c r="C59">
        <f>C58/3</f>
        <v>2634311</v>
      </c>
    </row>
    <row r="60" spans="2:3" x14ac:dyDescent="0.35">
      <c r="B60" t="s">
        <v>79</v>
      </c>
      <c r="C60">
        <f>C59/5</f>
        <v>526862.19999999995</v>
      </c>
    </row>
    <row r="61" spans="2:3" x14ac:dyDescent="0.35">
      <c r="B61" t="s">
        <v>80</v>
      </c>
      <c r="C61">
        <f>C60*9</f>
        <v>4741759.8</v>
      </c>
    </row>
    <row r="62" spans="2:3" x14ac:dyDescent="0.35">
      <c r="B62" t="s">
        <v>81</v>
      </c>
      <c r="C62">
        <f>C61*0.025</f>
        <v>118543.995</v>
      </c>
    </row>
    <row r="63" spans="2:3" x14ac:dyDescent="0.35">
      <c r="B63" t="s">
        <v>82</v>
      </c>
      <c r="C63">
        <f>C62*10</f>
        <v>1185439.95</v>
      </c>
    </row>
    <row r="64" spans="2:3" x14ac:dyDescent="0.35">
      <c r="B64" t="s">
        <v>83</v>
      </c>
      <c r="C64">
        <f>C63+1007307</f>
        <v>2192746.9500000002</v>
      </c>
    </row>
    <row r="66" spans="2:2" x14ac:dyDescent="0.35">
      <c r="B66" t="s">
        <v>84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8"/>
  <sheetViews>
    <sheetView tabSelected="1" topLeftCell="O7" zoomScaleNormal="100" workbookViewId="0">
      <selection activeCell="AA32" sqref="AA32"/>
    </sheetView>
  </sheetViews>
  <sheetFormatPr defaultColWidth="8.54296875" defaultRowHeight="14.5" x14ac:dyDescent="0.35"/>
  <cols>
    <col min="1" max="1" width="15.26953125" customWidth="1"/>
    <col min="2" max="2" width="11" customWidth="1"/>
    <col min="3" max="3" width="16" customWidth="1"/>
    <col min="4" max="4" width="20.7265625" customWidth="1"/>
    <col min="5" max="5" width="12.7265625" customWidth="1"/>
    <col min="6" max="6" width="17.26953125" customWidth="1"/>
    <col min="7" max="7" width="17.7265625" customWidth="1"/>
    <col min="8" max="8" width="57.7265625" customWidth="1"/>
    <col min="9" max="9" width="39.54296875" customWidth="1"/>
    <col min="10" max="10" width="33.7265625" customWidth="1"/>
    <col min="11" max="11" width="14.81640625" customWidth="1"/>
    <col min="13" max="13" width="47.81640625" customWidth="1"/>
    <col min="14" max="14" width="15.90625" customWidth="1"/>
    <col min="20" max="20" width="15" customWidth="1"/>
    <col min="21" max="21" width="10.26953125" customWidth="1"/>
    <col min="22" max="22" width="32.1796875" customWidth="1"/>
    <col min="23" max="23" width="33.1796875" customWidth="1"/>
    <col min="24" max="24" width="26.1796875" customWidth="1"/>
    <col min="25" max="25" width="21.26953125" bestFit="1" customWidth="1"/>
    <col min="26" max="26" width="16.0898437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29</v>
      </c>
      <c r="L1" t="s">
        <v>25</v>
      </c>
      <c r="M1" t="s">
        <v>10</v>
      </c>
    </row>
    <row r="2" spans="1:25" x14ac:dyDescent="0.35">
      <c r="A2">
        <v>2</v>
      </c>
      <c r="B2">
        <v>29</v>
      </c>
      <c r="C2">
        <v>820</v>
      </c>
      <c r="D2">
        <v>3106</v>
      </c>
      <c r="E2">
        <v>369</v>
      </c>
      <c r="F2">
        <f>D2+E2</f>
        <v>3475</v>
      </c>
      <c r="G2">
        <v>3</v>
      </c>
      <c r="H2">
        <f>B2*21</f>
        <v>609</v>
      </c>
      <c r="I2">
        <f>A2*H2*206</f>
        <v>250908</v>
      </c>
      <c r="J2">
        <f>I2*0.89</f>
        <v>223308.12</v>
      </c>
      <c r="K2">
        <f t="shared" ref="K2:K36" si="0">C2*B2</f>
        <v>23780</v>
      </c>
      <c r="L2">
        <v>2022</v>
      </c>
    </row>
    <row r="3" spans="1:25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0</v>
      </c>
      <c r="I3">
        <v>0</v>
      </c>
      <c r="J3">
        <v>0</v>
      </c>
      <c r="K3">
        <f t="shared" si="0"/>
        <v>0</v>
      </c>
      <c r="L3">
        <v>2022</v>
      </c>
      <c r="M3">
        <f>SUM(B2:B36)</f>
        <v>673</v>
      </c>
      <c r="T3" t="s">
        <v>85</v>
      </c>
      <c r="U3">
        <f>SUM(K2:K36)</f>
        <v>491390</v>
      </c>
      <c r="X3" t="s">
        <v>77</v>
      </c>
      <c r="Y3">
        <f>2312684+2623703+2966546</f>
        <v>7902933</v>
      </c>
    </row>
    <row r="4" spans="1:25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0</v>
      </c>
      <c r="I4">
        <v>0</v>
      </c>
      <c r="J4">
        <v>0</v>
      </c>
      <c r="K4">
        <f t="shared" si="0"/>
        <v>0</v>
      </c>
      <c r="L4">
        <v>2022</v>
      </c>
      <c r="M4">
        <f>SUM(B38:B66)</f>
        <v>617</v>
      </c>
      <c r="T4" t="s">
        <v>86</v>
      </c>
      <c r="U4">
        <f>SUM(K38:K66)</f>
        <v>462884</v>
      </c>
      <c r="X4" t="s">
        <v>78</v>
      </c>
      <c r="Y4">
        <f>Y3/3</f>
        <v>2634311</v>
      </c>
    </row>
    <row r="5" spans="1:25" x14ac:dyDescent="0.35">
      <c r="A5">
        <v>1</v>
      </c>
      <c r="B5">
        <v>20</v>
      </c>
      <c r="C5">
        <v>600</v>
      </c>
      <c r="D5">
        <v>1326</v>
      </c>
      <c r="E5">
        <v>219</v>
      </c>
      <c r="F5">
        <f>D5+E5</f>
        <v>1545</v>
      </c>
      <c r="G5">
        <v>3</v>
      </c>
      <c r="H5">
        <f>B5*21</f>
        <v>420</v>
      </c>
      <c r="I5">
        <f>A5*H5*206</f>
        <v>86520</v>
      </c>
      <c r="J5">
        <f t="shared" ref="J5:J10" si="1">I5*0.89</f>
        <v>77002.8</v>
      </c>
      <c r="K5">
        <f t="shared" si="0"/>
        <v>12000</v>
      </c>
      <c r="L5">
        <v>2022</v>
      </c>
      <c r="T5" t="s">
        <v>87</v>
      </c>
      <c r="U5">
        <f>SUM(K68:K101)</f>
        <v>425141.25</v>
      </c>
      <c r="X5" t="s">
        <v>79</v>
      </c>
      <c r="Y5">
        <f>Y4/5</f>
        <v>526862.19999999995</v>
      </c>
    </row>
    <row r="6" spans="1:25" x14ac:dyDescent="0.35">
      <c r="A6">
        <v>2</v>
      </c>
      <c r="B6">
        <v>26</v>
      </c>
      <c r="C6">
        <v>900</v>
      </c>
      <c r="D6">
        <v>3106</v>
      </c>
      <c r="E6">
        <v>369</v>
      </c>
      <c r="F6">
        <v>3475</v>
      </c>
      <c r="G6">
        <v>4</v>
      </c>
      <c r="H6">
        <f>B6*21</f>
        <v>546</v>
      </c>
      <c r="I6">
        <f>A6*H6*206</f>
        <v>224952</v>
      </c>
      <c r="J6">
        <f t="shared" si="1"/>
        <v>200207.28</v>
      </c>
      <c r="K6">
        <f t="shared" si="0"/>
        <v>23400</v>
      </c>
      <c r="L6">
        <v>2022</v>
      </c>
      <c r="T6" t="s">
        <v>88</v>
      </c>
      <c r="U6">
        <f>SUM(U3:U5)</f>
        <v>1379415.25</v>
      </c>
      <c r="X6" t="s">
        <v>80</v>
      </c>
      <c r="Y6">
        <f>Y5*9</f>
        <v>4741759.8</v>
      </c>
    </row>
    <row r="7" spans="1:25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4</v>
      </c>
      <c r="H7">
        <v>0</v>
      </c>
      <c r="I7">
        <v>0</v>
      </c>
      <c r="J7">
        <f t="shared" si="1"/>
        <v>0</v>
      </c>
      <c r="K7">
        <f t="shared" si="0"/>
        <v>0</v>
      </c>
      <c r="L7">
        <v>2022</v>
      </c>
      <c r="T7" t="s">
        <v>89</v>
      </c>
      <c r="U7">
        <f>U6/3</f>
        <v>459805.08333333331</v>
      </c>
      <c r="X7" t="s">
        <v>81</v>
      </c>
      <c r="Y7">
        <f>Y6*0.025</f>
        <v>118543.995</v>
      </c>
    </row>
    <row r="8" spans="1:25" x14ac:dyDescent="0.35">
      <c r="A8">
        <v>1</v>
      </c>
      <c r="B8">
        <v>23</v>
      </c>
      <c r="C8">
        <v>600</v>
      </c>
      <c r="D8">
        <v>1326</v>
      </c>
      <c r="E8">
        <v>219</v>
      </c>
      <c r="F8">
        <v>1545</v>
      </c>
      <c r="G8">
        <v>4</v>
      </c>
      <c r="H8">
        <f>B8*21</f>
        <v>483</v>
      </c>
      <c r="I8">
        <f>A8*H8*206</f>
        <v>99498</v>
      </c>
      <c r="J8">
        <f t="shared" si="1"/>
        <v>88553.22</v>
      </c>
      <c r="K8">
        <f t="shared" si="0"/>
        <v>13800</v>
      </c>
      <c r="L8">
        <v>2022</v>
      </c>
      <c r="T8" t="s">
        <v>90</v>
      </c>
      <c r="U8">
        <f>U7/5</f>
        <v>91961.016666666663</v>
      </c>
      <c r="X8" t="s">
        <v>82</v>
      </c>
      <c r="Y8">
        <f>Y7*10</f>
        <v>1185439.95</v>
      </c>
    </row>
    <row r="9" spans="1:25" x14ac:dyDescent="0.35">
      <c r="A9">
        <v>2</v>
      </c>
      <c r="B9">
        <v>36</v>
      </c>
      <c r="C9">
        <v>870</v>
      </c>
      <c r="D9">
        <v>3106</v>
      </c>
      <c r="E9">
        <v>369</v>
      </c>
      <c r="F9">
        <v>3475</v>
      </c>
      <c r="G9">
        <v>4</v>
      </c>
      <c r="H9">
        <f>B9*21</f>
        <v>756</v>
      </c>
      <c r="I9">
        <f>A9*H9*206</f>
        <v>311472</v>
      </c>
      <c r="J9">
        <f t="shared" si="1"/>
        <v>277210.08</v>
      </c>
      <c r="K9">
        <f t="shared" si="0"/>
        <v>31320</v>
      </c>
      <c r="L9">
        <v>2022</v>
      </c>
      <c r="M9" s="1" t="s">
        <v>32</v>
      </c>
      <c r="N9" s="1" t="s">
        <v>28</v>
      </c>
      <c r="T9" t="s">
        <v>91</v>
      </c>
      <c r="U9">
        <f>U8*9</f>
        <v>827649.14999999991</v>
      </c>
      <c r="X9" t="s">
        <v>83</v>
      </c>
      <c r="Y9">
        <f>Y8+1007307</f>
        <v>2192746.9500000002</v>
      </c>
    </row>
    <row r="10" spans="1:25" x14ac:dyDescent="0.35">
      <c r="A10">
        <v>2</v>
      </c>
      <c r="B10">
        <v>32</v>
      </c>
      <c r="C10">
        <v>900</v>
      </c>
      <c r="D10">
        <v>3106</v>
      </c>
      <c r="E10">
        <v>369</v>
      </c>
      <c r="F10">
        <v>3475</v>
      </c>
      <c r="G10">
        <v>4</v>
      </c>
      <c r="H10">
        <f>B10*21</f>
        <v>672</v>
      </c>
      <c r="I10">
        <f>A10*H10*206</f>
        <v>276864</v>
      </c>
      <c r="J10">
        <f t="shared" si="1"/>
        <v>246408.95999999999</v>
      </c>
      <c r="K10">
        <f t="shared" si="0"/>
        <v>28800</v>
      </c>
      <c r="L10">
        <v>2022</v>
      </c>
      <c r="M10" s="1" t="s">
        <v>26</v>
      </c>
      <c r="N10">
        <v>2021</v>
      </c>
      <c r="O10">
        <v>2022</v>
      </c>
      <c r="P10">
        <v>2023</v>
      </c>
      <c r="Q10" t="s">
        <v>25</v>
      </c>
      <c r="R10" t="s">
        <v>27</v>
      </c>
      <c r="T10" t="s">
        <v>92</v>
      </c>
      <c r="U10">
        <f>U9*10</f>
        <v>8276491.4999999991</v>
      </c>
    </row>
    <row r="11" spans="1:25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5</v>
      </c>
      <c r="H11">
        <v>0</v>
      </c>
      <c r="I11">
        <v>0</v>
      </c>
      <c r="J11">
        <v>0</v>
      </c>
      <c r="K11">
        <f t="shared" si="0"/>
        <v>0</v>
      </c>
      <c r="L11">
        <v>2022</v>
      </c>
      <c r="M11" s="2">
        <v>3</v>
      </c>
      <c r="N11">
        <v>135187.5</v>
      </c>
      <c r="O11">
        <v>84357</v>
      </c>
      <c r="P11">
        <v>84357</v>
      </c>
      <c r="R11">
        <v>101300.5</v>
      </c>
    </row>
    <row r="12" spans="1:25" x14ac:dyDescent="0.35">
      <c r="A12">
        <v>1</v>
      </c>
      <c r="B12">
        <v>28</v>
      </c>
      <c r="C12">
        <v>600</v>
      </c>
      <c r="D12">
        <v>1326</v>
      </c>
      <c r="E12">
        <v>219</v>
      </c>
      <c r="F12">
        <v>1545</v>
      </c>
      <c r="G12">
        <v>5</v>
      </c>
      <c r="H12">
        <f>B12*21</f>
        <v>588</v>
      </c>
      <c r="I12">
        <f>A12*H12*206</f>
        <v>121128</v>
      </c>
      <c r="J12">
        <f>I12*0.89</f>
        <v>107803.92</v>
      </c>
      <c r="K12">
        <f t="shared" si="0"/>
        <v>16800</v>
      </c>
      <c r="L12">
        <v>2022</v>
      </c>
      <c r="M12" s="2">
        <v>4</v>
      </c>
      <c r="N12">
        <v>95172</v>
      </c>
      <c r="O12">
        <v>182557.2</v>
      </c>
      <c r="P12">
        <v>203322</v>
      </c>
      <c r="R12">
        <v>162058.61538461538</v>
      </c>
      <c r="T12" t="s">
        <v>93</v>
      </c>
      <c r="U12">
        <f>U8*3</f>
        <v>275883.05</v>
      </c>
      <c r="X12" t="s">
        <v>92</v>
      </c>
      <c r="Y12">
        <v>11035322</v>
      </c>
    </row>
    <row r="13" spans="1:25" x14ac:dyDescent="0.35">
      <c r="A13">
        <v>2</v>
      </c>
      <c r="B13">
        <v>22</v>
      </c>
      <c r="C13">
        <v>450</v>
      </c>
      <c r="D13">
        <f>D2</f>
        <v>3106</v>
      </c>
      <c r="E13">
        <f>E2</f>
        <v>369</v>
      </c>
      <c r="F13">
        <f>D13+E13</f>
        <v>3475</v>
      </c>
      <c r="G13">
        <v>5</v>
      </c>
      <c r="H13">
        <f>B13*21</f>
        <v>462</v>
      </c>
      <c r="I13">
        <f>A13*H13*206</f>
        <v>190344</v>
      </c>
      <c r="J13">
        <f>I13*0.89</f>
        <v>169406.16</v>
      </c>
      <c r="K13">
        <f t="shared" si="0"/>
        <v>9900</v>
      </c>
      <c r="L13">
        <v>2022</v>
      </c>
      <c r="M13" s="2">
        <v>5</v>
      </c>
      <c r="N13">
        <v>119397.6</v>
      </c>
      <c r="O13">
        <v>77868</v>
      </c>
      <c r="P13">
        <v>122209.5</v>
      </c>
      <c r="R13">
        <v>107484.46153846153</v>
      </c>
      <c r="T13" t="s">
        <v>94</v>
      </c>
      <c r="U13">
        <f>U12*10</f>
        <v>2758830.5</v>
      </c>
      <c r="X13" t="s">
        <v>95</v>
      </c>
      <c r="Y13">
        <v>2192747</v>
      </c>
    </row>
    <row r="14" spans="1:25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5</v>
      </c>
      <c r="H14">
        <v>0</v>
      </c>
      <c r="I14">
        <v>0</v>
      </c>
      <c r="J14">
        <v>0</v>
      </c>
      <c r="K14">
        <f t="shared" si="0"/>
        <v>0</v>
      </c>
      <c r="L14">
        <v>2022</v>
      </c>
      <c r="M14" s="2">
        <v>6</v>
      </c>
      <c r="N14">
        <v>161504</v>
      </c>
      <c r="O14">
        <v>217381.5</v>
      </c>
      <c r="P14">
        <v>147084</v>
      </c>
      <c r="R14">
        <v>179529</v>
      </c>
      <c r="T14" t="s">
        <v>29</v>
      </c>
      <c r="U14">
        <f>U10+U13</f>
        <v>11035322</v>
      </c>
      <c r="X14" t="s">
        <v>96</v>
      </c>
      <c r="Y14">
        <f>Y12+Y13</f>
        <v>13228069</v>
      </c>
    </row>
    <row r="15" spans="1:25" x14ac:dyDescent="0.35">
      <c r="A15">
        <v>2</v>
      </c>
      <c r="B15">
        <v>28</v>
      </c>
      <c r="C15">
        <v>600</v>
      </c>
      <c r="D15">
        <f>D2</f>
        <v>3106</v>
      </c>
      <c r="E15">
        <f>E2</f>
        <v>369</v>
      </c>
      <c r="F15">
        <f>F2</f>
        <v>3475</v>
      </c>
      <c r="G15">
        <v>6</v>
      </c>
      <c r="H15">
        <f>B15*21</f>
        <v>588</v>
      </c>
      <c r="I15">
        <f>A15*H15*206</f>
        <v>242256</v>
      </c>
      <c r="J15">
        <f t="shared" ref="J15:J27" si="2">I15*0.89</f>
        <v>215607.84</v>
      </c>
      <c r="K15">
        <f t="shared" si="0"/>
        <v>16800</v>
      </c>
      <c r="L15">
        <v>2022</v>
      </c>
      <c r="M15" s="2">
        <v>7</v>
      </c>
      <c r="N15">
        <v>546806.4</v>
      </c>
      <c r="O15">
        <v>326613</v>
      </c>
      <c r="P15">
        <v>175924</v>
      </c>
      <c r="R15">
        <v>380688</v>
      </c>
      <c r="X15" t="s">
        <v>97</v>
      </c>
      <c r="Y15">
        <v>75000</v>
      </c>
    </row>
    <row r="16" spans="1:25" x14ac:dyDescent="0.35">
      <c r="A16">
        <v>2</v>
      </c>
      <c r="B16">
        <v>22</v>
      </c>
      <c r="C16">
        <v>870</v>
      </c>
      <c r="D16">
        <f>D2</f>
        <v>3106</v>
      </c>
      <c r="E16">
        <f>E2</f>
        <v>369</v>
      </c>
      <c r="F16">
        <f>F2</f>
        <v>3475</v>
      </c>
      <c r="G16">
        <v>6</v>
      </c>
      <c r="H16">
        <f>B16*21</f>
        <v>462</v>
      </c>
      <c r="I16">
        <f>A16*H16*206</f>
        <v>190344</v>
      </c>
      <c r="J16">
        <f t="shared" si="2"/>
        <v>169406.16</v>
      </c>
      <c r="K16">
        <f t="shared" si="0"/>
        <v>19140</v>
      </c>
      <c r="L16">
        <v>2022</v>
      </c>
      <c r="M16" s="2">
        <v>8</v>
      </c>
      <c r="N16">
        <v>124372.5</v>
      </c>
      <c r="O16">
        <v>106419.6</v>
      </c>
      <c r="P16">
        <v>118965</v>
      </c>
      <c r="R16">
        <v>115803.69230769231</v>
      </c>
      <c r="X16" t="s">
        <v>98</v>
      </c>
      <c r="Y16">
        <v>18000</v>
      </c>
    </row>
    <row r="17" spans="1:28" x14ac:dyDescent="0.35">
      <c r="A17">
        <v>3</v>
      </c>
      <c r="B17">
        <v>24</v>
      </c>
      <c r="C17">
        <v>1000</v>
      </c>
      <c r="D17">
        <v>5482</v>
      </c>
      <c r="E17">
        <v>575</v>
      </c>
      <c r="F17">
        <f>D17+E17</f>
        <v>6057</v>
      </c>
      <c r="G17">
        <v>6</v>
      </c>
      <c r="H17">
        <f>B17*21</f>
        <v>504</v>
      </c>
      <c r="I17">
        <f>A17*H17*206</f>
        <v>311472</v>
      </c>
      <c r="J17">
        <f t="shared" si="2"/>
        <v>277210.08</v>
      </c>
      <c r="K17">
        <f t="shared" si="0"/>
        <v>24000</v>
      </c>
      <c r="L17">
        <v>2022</v>
      </c>
      <c r="M17" s="2">
        <v>9</v>
      </c>
      <c r="N17">
        <v>170877</v>
      </c>
      <c r="O17">
        <v>92057</v>
      </c>
      <c r="P17">
        <v>158620</v>
      </c>
      <c r="R17">
        <v>143553.9</v>
      </c>
      <c r="X17" t="s">
        <v>99</v>
      </c>
      <c r="Y17">
        <f>(Y16*4)+(Y15*5)</f>
        <v>447000</v>
      </c>
    </row>
    <row r="18" spans="1:28" x14ac:dyDescent="0.35">
      <c r="A18">
        <v>1</v>
      </c>
      <c r="B18">
        <v>29</v>
      </c>
      <c r="C18">
        <v>600</v>
      </c>
      <c r="D18">
        <f>D5</f>
        <v>1326</v>
      </c>
      <c r="E18">
        <f>E5</f>
        <v>219</v>
      </c>
      <c r="F18">
        <f>F5</f>
        <v>1545</v>
      </c>
      <c r="G18">
        <v>6</v>
      </c>
      <c r="H18">
        <f>B18*21</f>
        <v>609</v>
      </c>
      <c r="I18">
        <f>A18*H18*206</f>
        <v>125454</v>
      </c>
      <c r="J18">
        <f t="shared" si="2"/>
        <v>111654.06</v>
      </c>
      <c r="K18">
        <f t="shared" si="0"/>
        <v>17400</v>
      </c>
      <c r="L18">
        <v>2022</v>
      </c>
      <c r="M18" s="2">
        <v>10</v>
      </c>
      <c r="N18">
        <v>108150</v>
      </c>
      <c r="O18">
        <v>71379</v>
      </c>
      <c r="P18">
        <v>124372.5</v>
      </c>
      <c r="R18">
        <v>100677.81818181818</v>
      </c>
      <c r="X18" t="s">
        <v>100</v>
      </c>
      <c r="Y18">
        <f>Y17*10</f>
        <v>4470000</v>
      </c>
    </row>
    <row r="19" spans="1:28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7</v>
      </c>
      <c r="H19">
        <v>0</v>
      </c>
      <c r="I19">
        <v>0</v>
      </c>
      <c r="J19">
        <f t="shared" si="2"/>
        <v>0</v>
      </c>
      <c r="K19">
        <f t="shared" si="0"/>
        <v>0</v>
      </c>
      <c r="L19">
        <v>2022</v>
      </c>
      <c r="M19" s="2">
        <v>11</v>
      </c>
      <c r="N19">
        <v>140595</v>
      </c>
      <c r="O19">
        <v>73542</v>
      </c>
      <c r="R19">
        <v>107068.5</v>
      </c>
      <c r="X19" t="s">
        <v>101</v>
      </c>
      <c r="Y19">
        <f>1000000*4</f>
        <v>4000000</v>
      </c>
    </row>
    <row r="20" spans="1:28" x14ac:dyDescent="0.35">
      <c r="A20">
        <v>3</v>
      </c>
      <c r="B20">
        <v>26</v>
      </c>
      <c r="C20">
        <v>870</v>
      </c>
      <c r="D20">
        <f>D17</f>
        <v>5482</v>
      </c>
      <c r="E20">
        <f>E17</f>
        <v>575</v>
      </c>
      <c r="F20">
        <f>F17</f>
        <v>6057</v>
      </c>
      <c r="G20">
        <v>7</v>
      </c>
      <c r="H20">
        <f t="shared" ref="H20:H27" si="3">B20*21</f>
        <v>546</v>
      </c>
      <c r="I20">
        <f t="shared" ref="I20:I27" si="4">A20*H20*206</f>
        <v>337428</v>
      </c>
      <c r="J20">
        <f t="shared" si="2"/>
        <v>300310.92</v>
      </c>
      <c r="K20">
        <f t="shared" si="0"/>
        <v>22620</v>
      </c>
      <c r="L20">
        <v>2022</v>
      </c>
      <c r="M20" s="2" t="s">
        <v>6</v>
      </c>
      <c r="Q20" t="e">
        <v>#DIV/0!</v>
      </c>
      <c r="R20" t="e">
        <v>#DIV/0!</v>
      </c>
      <c r="X20" t="s">
        <v>99</v>
      </c>
      <c r="Y20">
        <f>Y18+Y19</f>
        <v>8470000</v>
      </c>
    </row>
    <row r="21" spans="1:28" x14ac:dyDescent="0.35">
      <c r="A21">
        <v>2</v>
      </c>
      <c r="B21">
        <v>26</v>
      </c>
      <c r="C21">
        <v>1050</v>
      </c>
      <c r="D21">
        <f>D2</f>
        <v>3106</v>
      </c>
      <c r="E21">
        <f>E2</f>
        <v>369</v>
      </c>
      <c r="F21">
        <f>F2</f>
        <v>3475</v>
      </c>
      <c r="G21">
        <v>7</v>
      </c>
      <c r="H21">
        <f t="shared" si="3"/>
        <v>546</v>
      </c>
      <c r="I21">
        <f t="shared" si="4"/>
        <v>224952</v>
      </c>
      <c r="J21">
        <f t="shared" si="2"/>
        <v>200207.28</v>
      </c>
      <c r="K21">
        <f t="shared" si="0"/>
        <v>27300</v>
      </c>
      <c r="L21">
        <v>2022</v>
      </c>
      <c r="M21" s="2" t="s">
        <v>27</v>
      </c>
      <c r="N21">
        <v>191870.82352941178</v>
      </c>
      <c r="O21">
        <v>142243.79999999999</v>
      </c>
      <c r="P21">
        <v>139923.72413793104</v>
      </c>
      <c r="Q21" t="e">
        <v>#DIV/0!</v>
      </c>
      <c r="R21">
        <v>158774.78571428571</v>
      </c>
      <c r="X21" t="s">
        <v>102</v>
      </c>
      <c r="Y21">
        <f>Y14-Y20</f>
        <v>4758069</v>
      </c>
    </row>
    <row r="22" spans="1:28" x14ac:dyDescent="0.35">
      <c r="A22">
        <v>4</v>
      </c>
      <c r="B22">
        <v>43</v>
      </c>
      <c r="C22">
        <v>1000</v>
      </c>
      <c r="D22">
        <v>7000</v>
      </c>
      <c r="E22">
        <v>700</v>
      </c>
      <c r="F22">
        <f>D22+E22</f>
        <v>7700</v>
      </c>
      <c r="G22">
        <v>7</v>
      </c>
      <c r="H22">
        <f t="shared" si="3"/>
        <v>903</v>
      </c>
      <c r="I22">
        <f t="shared" si="4"/>
        <v>744072</v>
      </c>
      <c r="J22">
        <f t="shared" si="2"/>
        <v>662224.07999999996</v>
      </c>
      <c r="K22">
        <f t="shared" si="0"/>
        <v>43000</v>
      </c>
      <c r="L22">
        <v>2022</v>
      </c>
    </row>
    <row r="23" spans="1:28" ht="15" thickBot="1" x14ac:dyDescent="0.4">
      <c r="A23">
        <v>1</v>
      </c>
      <c r="B23">
        <v>28</v>
      </c>
      <c r="C23">
        <v>600</v>
      </c>
      <c r="D23">
        <f>D5</f>
        <v>1326</v>
      </c>
      <c r="E23">
        <f>E5</f>
        <v>219</v>
      </c>
      <c r="F23">
        <f>F5</f>
        <v>1545</v>
      </c>
      <c r="G23">
        <v>8</v>
      </c>
      <c r="H23">
        <f t="shared" si="3"/>
        <v>588</v>
      </c>
      <c r="I23">
        <f t="shared" si="4"/>
        <v>121128</v>
      </c>
      <c r="J23">
        <f t="shared" si="2"/>
        <v>107803.92</v>
      </c>
      <c r="K23">
        <f t="shared" si="0"/>
        <v>16800</v>
      </c>
      <c r="L23">
        <v>2022</v>
      </c>
    </row>
    <row r="24" spans="1:28" ht="33.5" x14ac:dyDescent="0.75">
      <c r="A24">
        <v>1</v>
      </c>
      <c r="B24">
        <v>19</v>
      </c>
      <c r="C24">
        <v>400</v>
      </c>
      <c r="D24">
        <f>D5</f>
        <v>1326</v>
      </c>
      <c r="E24">
        <f>E5</f>
        <v>219</v>
      </c>
      <c r="F24">
        <f>F5</f>
        <v>1545</v>
      </c>
      <c r="G24">
        <v>8</v>
      </c>
      <c r="H24">
        <f t="shared" si="3"/>
        <v>399</v>
      </c>
      <c r="I24">
        <f t="shared" si="4"/>
        <v>82194</v>
      </c>
      <c r="J24">
        <f t="shared" si="2"/>
        <v>73152.66</v>
      </c>
      <c r="K24">
        <f t="shared" si="0"/>
        <v>7600</v>
      </c>
      <c r="L24">
        <v>2022</v>
      </c>
      <c r="V24" s="54"/>
      <c r="W24" s="55" t="s">
        <v>110</v>
      </c>
      <c r="X24" s="56"/>
      <c r="Y24" s="56"/>
      <c r="Z24" s="56"/>
      <c r="AA24" s="56"/>
      <c r="AB24" s="57"/>
    </row>
    <row r="25" spans="1:28" ht="26" x14ac:dyDescent="0.6">
      <c r="A25">
        <v>2</v>
      </c>
      <c r="B25">
        <v>16</v>
      </c>
      <c r="C25">
        <v>870</v>
      </c>
      <c r="D25">
        <f>D2</f>
        <v>3106</v>
      </c>
      <c r="E25">
        <f>E2</f>
        <v>369</v>
      </c>
      <c r="F25">
        <f>F2</f>
        <v>3475</v>
      </c>
      <c r="G25">
        <v>8</v>
      </c>
      <c r="H25">
        <f t="shared" si="3"/>
        <v>336</v>
      </c>
      <c r="I25">
        <f t="shared" si="4"/>
        <v>138432</v>
      </c>
      <c r="J25">
        <f t="shared" si="2"/>
        <v>123204.48</v>
      </c>
      <c r="K25">
        <f t="shared" si="0"/>
        <v>13920</v>
      </c>
      <c r="L25">
        <v>2022</v>
      </c>
      <c r="V25" s="42" t="s">
        <v>103</v>
      </c>
      <c r="W25" s="38" t="s">
        <v>104</v>
      </c>
      <c r="X25" s="38" t="s">
        <v>105</v>
      </c>
      <c r="Y25" s="31" t="s">
        <v>106</v>
      </c>
      <c r="Z25" s="32"/>
      <c r="AA25" s="32"/>
      <c r="AB25" s="43"/>
    </row>
    <row r="26" spans="1:28" ht="21" x14ac:dyDescent="0.5">
      <c r="A26">
        <v>1</v>
      </c>
      <c r="B26">
        <v>20</v>
      </c>
      <c r="C26">
        <v>600</v>
      </c>
      <c r="D26">
        <f>D5</f>
        <v>1326</v>
      </c>
      <c r="E26">
        <f>E5</f>
        <v>219</v>
      </c>
      <c r="F26">
        <f>F5</f>
        <v>1545</v>
      </c>
      <c r="G26">
        <v>8</v>
      </c>
      <c r="H26">
        <f t="shared" si="3"/>
        <v>420</v>
      </c>
      <c r="I26">
        <f t="shared" si="4"/>
        <v>86520</v>
      </c>
      <c r="J26">
        <f t="shared" si="2"/>
        <v>77002.8</v>
      </c>
      <c r="K26">
        <f t="shared" si="0"/>
        <v>12000</v>
      </c>
      <c r="L26">
        <v>2022</v>
      </c>
      <c r="M26" t="s">
        <v>34</v>
      </c>
      <c r="N26" t="s">
        <v>33</v>
      </c>
      <c r="O26" t="s">
        <v>25</v>
      </c>
      <c r="V26" s="44">
        <v>11035322</v>
      </c>
      <c r="W26" s="39">
        <v>2192747</v>
      </c>
      <c r="X26" s="39">
        <v>13228069</v>
      </c>
      <c r="Y26" s="33">
        <v>13228069</v>
      </c>
      <c r="Z26" s="34"/>
      <c r="AA26" s="34"/>
      <c r="AB26" s="45"/>
    </row>
    <row r="27" spans="1:28" ht="23.5" x14ac:dyDescent="0.55000000000000004">
      <c r="A27">
        <v>2</v>
      </c>
      <c r="B27">
        <v>12</v>
      </c>
      <c r="C27">
        <v>870</v>
      </c>
      <c r="D27">
        <f>D2</f>
        <v>3106</v>
      </c>
      <c r="E27">
        <f>E2</f>
        <v>369</v>
      </c>
      <c r="F27">
        <f>F2</f>
        <v>3475</v>
      </c>
      <c r="G27">
        <v>8</v>
      </c>
      <c r="H27">
        <f t="shared" si="3"/>
        <v>252</v>
      </c>
      <c r="I27">
        <f t="shared" si="4"/>
        <v>103824</v>
      </c>
      <c r="J27">
        <f t="shared" si="2"/>
        <v>92403.36</v>
      </c>
      <c r="K27">
        <f t="shared" si="0"/>
        <v>10440</v>
      </c>
      <c r="L27">
        <v>2022</v>
      </c>
      <c r="M27">
        <f>SUM(I2:I5)/SUM(B2:B4)</f>
        <v>11635.448275862069</v>
      </c>
      <c r="N27">
        <v>3</v>
      </c>
      <c r="O27">
        <v>2022</v>
      </c>
      <c r="V27" s="46"/>
      <c r="W27" s="40"/>
      <c r="X27" s="40"/>
      <c r="Y27" s="58">
        <v>-4470000</v>
      </c>
      <c r="Z27" s="35" t="s">
        <v>107</v>
      </c>
      <c r="AA27" s="32"/>
      <c r="AB27" s="43"/>
    </row>
    <row r="28" spans="1:28" ht="24" thickBot="1" x14ac:dyDescent="0.6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9</v>
      </c>
      <c r="H28">
        <v>0</v>
      </c>
      <c r="I28">
        <v>0</v>
      </c>
      <c r="J28">
        <v>0</v>
      </c>
      <c r="K28">
        <f t="shared" si="0"/>
        <v>0</v>
      </c>
      <c r="L28">
        <v>2022</v>
      </c>
      <c r="M28">
        <f>SUM(I6:I10)/SUM(B6:B10)</f>
        <v>7801.5897435897432</v>
      </c>
      <c r="N28">
        <v>4</v>
      </c>
      <c r="O28">
        <v>2022</v>
      </c>
      <c r="V28" s="47"/>
      <c r="W28" s="41"/>
      <c r="X28" s="41"/>
      <c r="Y28" s="59">
        <v>-4000000</v>
      </c>
      <c r="Z28" s="37" t="s">
        <v>108</v>
      </c>
      <c r="AA28" s="36"/>
      <c r="AB28" s="48"/>
    </row>
    <row r="29" spans="1:28" ht="24" thickBot="1" x14ac:dyDescent="0.6">
      <c r="A29">
        <v>1</v>
      </c>
      <c r="B29">
        <v>33</v>
      </c>
      <c r="C29">
        <v>600</v>
      </c>
      <c r="D29">
        <f>D5</f>
        <v>1326</v>
      </c>
      <c r="E29">
        <f>E5</f>
        <v>219</v>
      </c>
      <c r="F29">
        <f>F5</f>
        <v>1545</v>
      </c>
      <c r="G29">
        <v>9</v>
      </c>
      <c r="H29">
        <f>B29*21</f>
        <v>693</v>
      </c>
      <c r="I29">
        <f>A29*H29*205</f>
        <v>142065</v>
      </c>
      <c r="J29">
        <f>I29*0.89</f>
        <v>126437.85</v>
      </c>
      <c r="K29">
        <f t="shared" si="0"/>
        <v>19800</v>
      </c>
      <c r="L29">
        <v>2022</v>
      </c>
      <c r="M29">
        <f>SUM(I11:I14)/SUM(B11:B14)</f>
        <v>6229.44</v>
      </c>
      <c r="N29">
        <v>5</v>
      </c>
      <c r="O29">
        <v>2022</v>
      </c>
      <c r="V29" s="49"/>
      <c r="W29" s="50"/>
      <c r="X29" s="50"/>
      <c r="Y29" s="51">
        <v>4758069</v>
      </c>
      <c r="Z29" s="52" t="s">
        <v>109</v>
      </c>
      <c r="AA29" s="50"/>
      <c r="AB29" s="53"/>
    </row>
    <row r="30" spans="1:28" x14ac:dyDescent="0.35">
      <c r="A30">
        <v>1</v>
      </c>
      <c r="B30">
        <v>31</v>
      </c>
      <c r="C30">
        <v>670</v>
      </c>
      <c r="D30">
        <f>D5</f>
        <v>1326</v>
      </c>
      <c r="E30">
        <f>E5</f>
        <v>219</v>
      </c>
      <c r="F30">
        <f>F5</f>
        <v>1545</v>
      </c>
      <c r="G30">
        <v>9</v>
      </c>
      <c r="H30">
        <f>B30*21</f>
        <v>651</v>
      </c>
      <c r="I30">
        <f>A30*H30*206</f>
        <v>134106</v>
      </c>
      <c r="J30">
        <f>I30*0.89</f>
        <v>119354.34</v>
      </c>
      <c r="K30">
        <f t="shared" si="0"/>
        <v>20770</v>
      </c>
      <c r="L30">
        <v>2022</v>
      </c>
      <c r="M30">
        <f>SUM(I15:I18)/SUM(B15:B18)</f>
        <v>8442</v>
      </c>
      <c r="N30">
        <v>6</v>
      </c>
      <c r="O30">
        <v>2022</v>
      </c>
    </row>
    <row r="31" spans="1:28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10</v>
      </c>
      <c r="H31">
        <v>0</v>
      </c>
      <c r="I31">
        <v>0</v>
      </c>
      <c r="J31">
        <v>0</v>
      </c>
      <c r="K31">
        <f t="shared" si="0"/>
        <v>0</v>
      </c>
      <c r="L31">
        <v>2022</v>
      </c>
      <c r="M31">
        <f>SUM(I19:I22)/SUM(B19:B22)</f>
        <v>13752.126315789474</v>
      </c>
      <c r="N31">
        <v>7</v>
      </c>
      <c r="O31">
        <v>2022</v>
      </c>
    </row>
    <row r="32" spans="1:28" x14ac:dyDescent="0.35">
      <c r="A32">
        <v>1</v>
      </c>
      <c r="B32">
        <v>19</v>
      </c>
      <c r="C32">
        <v>600</v>
      </c>
      <c r="D32">
        <v>1326</v>
      </c>
      <c r="E32">
        <v>219</v>
      </c>
      <c r="F32">
        <v>1545</v>
      </c>
      <c r="G32">
        <v>10</v>
      </c>
      <c r="H32">
        <f t="shared" ref="H32:H66" si="5">B32*21</f>
        <v>399</v>
      </c>
      <c r="I32">
        <f t="shared" ref="I32:I66" si="6">A32*H32*206</f>
        <v>82194</v>
      </c>
      <c r="J32">
        <f t="shared" ref="J32:J66" si="7">I32*0.89</f>
        <v>73152.66</v>
      </c>
      <c r="K32">
        <f t="shared" si="0"/>
        <v>11400</v>
      </c>
      <c r="L32">
        <v>2022</v>
      </c>
      <c r="M32">
        <f>SUM(I23:I27)/SUM(B23:B27)</f>
        <v>5601.0315789473689</v>
      </c>
      <c r="N32">
        <v>8</v>
      </c>
      <c r="O32">
        <v>2022</v>
      </c>
    </row>
    <row r="33" spans="1:15" x14ac:dyDescent="0.35">
      <c r="A33">
        <v>1</v>
      </c>
      <c r="B33">
        <v>29</v>
      </c>
      <c r="C33">
        <v>600</v>
      </c>
      <c r="D33">
        <v>1326</v>
      </c>
      <c r="E33">
        <v>219</v>
      </c>
      <c r="F33">
        <v>1545</v>
      </c>
      <c r="G33">
        <v>10</v>
      </c>
      <c r="H33">
        <f t="shared" si="5"/>
        <v>609</v>
      </c>
      <c r="I33">
        <f t="shared" si="6"/>
        <v>125454</v>
      </c>
      <c r="J33">
        <f t="shared" si="7"/>
        <v>111654.06</v>
      </c>
      <c r="K33">
        <f t="shared" si="0"/>
        <v>17400</v>
      </c>
      <c r="L33">
        <v>2022</v>
      </c>
      <c r="M33">
        <f>SUM(I28:I30)/SUM(B28:B30)</f>
        <v>4315.171875</v>
      </c>
      <c r="N33">
        <v>9</v>
      </c>
      <c r="O33">
        <v>2022</v>
      </c>
    </row>
    <row r="34" spans="1:15" x14ac:dyDescent="0.35">
      <c r="A34">
        <v>1</v>
      </c>
      <c r="B34">
        <v>18</v>
      </c>
      <c r="C34">
        <v>600</v>
      </c>
      <c r="D34">
        <v>1326</v>
      </c>
      <c r="E34">
        <v>219</v>
      </c>
      <c r="F34">
        <v>1545</v>
      </c>
      <c r="G34">
        <v>10</v>
      </c>
      <c r="H34">
        <f t="shared" si="5"/>
        <v>378</v>
      </c>
      <c r="I34">
        <f t="shared" si="6"/>
        <v>77868</v>
      </c>
      <c r="J34">
        <f t="shared" si="7"/>
        <v>69302.52</v>
      </c>
      <c r="K34">
        <f t="shared" si="0"/>
        <v>10800</v>
      </c>
      <c r="L34">
        <v>2022</v>
      </c>
      <c r="M34">
        <f>SUM(I31:I34)/SUM(B31:B34)</f>
        <v>4326</v>
      </c>
      <c r="N34">
        <v>10</v>
      </c>
      <c r="O34">
        <v>2022</v>
      </c>
    </row>
    <row r="35" spans="1:15" x14ac:dyDescent="0.35">
      <c r="A35">
        <v>1</v>
      </c>
      <c r="B35">
        <v>18</v>
      </c>
      <c r="C35">
        <v>600</v>
      </c>
      <c r="D35">
        <v>1326</v>
      </c>
      <c r="E35">
        <v>219</v>
      </c>
      <c r="F35">
        <v>1545</v>
      </c>
      <c r="G35">
        <v>11</v>
      </c>
      <c r="H35">
        <f t="shared" si="5"/>
        <v>378</v>
      </c>
      <c r="I35">
        <f t="shared" si="6"/>
        <v>77868</v>
      </c>
      <c r="J35">
        <f t="shared" si="7"/>
        <v>69302.52</v>
      </c>
      <c r="K35">
        <f t="shared" si="0"/>
        <v>10800</v>
      </c>
      <c r="L35">
        <v>2022</v>
      </c>
      <c r="M35">
        <f>SUM(I35:I36)/SUM(B35:B36)</f>
        <v>4326</v>
      </c>
      <c r="N35">
        <v>11</v>
      </c>
      <c r="O35">
        <v>2022</v>
      </c>
    </row>
    <row r="36" spans="1:15" x14ac:dyDescent="0.35">
      <c r="A36">
        <v>1</v>
      </c>
      <c r="B36">
        <v>16</v>
      </c>
      <c r="C36">
        <v>600</v>
      </c>
      <c r="D36">
        <v>1326</v>
      </c>
      <c r="E36">
        <v>219</v>
      </c>
      <c r="F36">
        <v>1545</v>
      </c>
      <c r="G36">
        <v>11</v>
      </c>
      <c r="H36">
        <f t="shared" si="5"/>
        <v>336</v>
      </c>
      <c r="I36">
        <f t="shared" si="6"/>
        <v>69216</v>
      </c>
      <c r="J36">
        <f t="shared" si="7"/>
        <v>61602.239999999998</v>
      </c>
      <c r="K36">
        <f t="shared" si="0"/>
        <v>9600</v>
      </c>
      <c r="L36">
        <v>2022</v>
      </c>
      <c r="M36">
        <f>SUM(I38:I41)/SUM(B38:B41)</f>
        <v>6616.2352941176468</v>
      </c>
      <c r="N36">
        <v>3</v>
      </c>
      <c r="O36">
        <v>2023</v>
      </c>
    </row>
    <row r="37" spans="1:15" x14ac:dyDescent="0.3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16</v>
      </c>
      <c r="G37" t="s">
        <v>6</v>
      </c>
      <c r="H37" t="s">
        <v>7</v>
      </c>
      <c r="I37" t="s">
        <v>17</v>
      </c>
      <c r="J37" t="s">
        <v>18</v>
      </c>
      <c r="K37" t="s">
        <v>29</v>
      </c>
      <c r="L37" t="s">
        <v>25</v>
      </c>
      <c r="M37">
        <f>SUM(I42:I45)/SUM(B42:B45)</f>
        <v>7745.6</v>
      </c>
      <c r="N37">
        <v>4</v>
      </c>
      <c r="O37">
        <v>2023</v>
      </c>
    </row>
    <row r="38" spans="1:15" x14ac:dyDescent="0.35">
      <c r="A38">
        <v>2</v>
      </c>
      <c r="B38">
        <v>9</v>
      </c>
      <c r="C38">
        <v>870</v>
      </c>
      <c r="D38">
        <v>3106</v>
      </c>
      <c r="E38">
        <v>369</v>
      </c>
      <c r="F38">
        <v>3475</v>
      </c>
      <c r="G38">
        <v>3</v>
      </c>
      <c r="H38">
        <f t="shared" si="5"/>
        <v>189</v>
      </c>
      <c r="I38">
        <f t="shared" si="6"/>
        <v>77868</v>
      </c>
      <c r="J38">
        <f t="shared" si="7"/>
        <v>69302.52</v>
      </c>
      <c r="K38">
        <f t="shared" ref="K38:K66" si="8">C38*B38</f>
        <v>7830</v>
      </c>
      <c r="L38">
        <v>2023</v>
      </c>
      <c r="M38">
        <f>SUM(I46:I49)/SUM(B46:B49)</f>
        <v>5313.45652173913</v>
      </c>
      <c r="N38">
        <v>5</v>
      </c>
      <c r="O38">
        <v>2023</v>
      </c>
    </row>
    <row r="39" spans="1:15" x14ac:dyDescent="0.35">
      <c r="A39">
        <v>2</v>
      </c>
      <c r="B39">
        <v>9</v>
      </c>
      <c r="C39">
        <v>700</v>
      </c>
      <c r="D39">
        <v>3106</v>
      </c>
      <c r="E39">
        <v>369</v>
      </c>
      <c r="F39">
        <v>3475</v>
      </c>
      <c r="G39">
        <v>3</v>
      </c>
      <c r="H39">
        <f t="shared" si="5"/>
        <v>189</v>
      </c>
      <c r="I39">
        <f t="shared" si="6"/>
        <v>77868</v>
      </c>
      <c r="J39">
        <f t="shared" si="7"/>
        <v>69302.52</v>
      </c>
      <c r="K39">
        <f t="shared" si="8"/>
        <v>6300</v>
      </c>
      <c r="L39">
        <v>2023</v>
      </c>
      <c r="M39">
        <f>SUM(I50:I52)/SUM(B50:B52)</f>
        <v>7004</v>
      </c>
      <c r="N39">
        <v>6</v>
      </c>
      <c r="O39">
        <v>2023</v>
      </c>
    </row>
    <row r="40" spans="1:15" x14ac:dyDescent="0.35">
      <c r="A40">
        <v>2</v>
      </c>
      <c r="B40">
        <v>9</v>
      </c>
      <c r="C40">
        <v>500</v>
      </c>
      <c r="D40">
        <v>3106</v>
      </c>
      <c r="E40">
        <v>369</v>
      </c>
      <c r="F40">
        <v>3475</v>
      </c>
      <c r="G40">
        <v>3</v>
      </c>
      <c r="H40">
        <f t="shared" si="5"/>
        <v>189</v>
      </c>
      <c r="I40">
        <f t="shared" si="6"/>
        <v>77868</v>
      </c>
      <c r="J40">
        <f t="shared" si="7"/>
        <v>69302.52</v>
      </c>
      <c r="K40">
        <f t="shared" si="8"/>
        <v>4500</v>
      </c>
      <c r="L40">
        <v>2023</v>
      </c>
      <c r="M40">
        <f>SUM(I53:I55)/SUM(B53:B55)</f>
        <v>8652</v>
      </c>
      <c r="N40">
        <v>7</v>
      </c>
      <c r="O40">
        <v>2023</v>
      </c>
    </row>
    <row r="41" spans="1:15" x14ac:dyDescent="0.35">
      <c r="A41">
        <v>1</v>
      </c>
      <c r="B41">
        <v>24</v>
      </c>
      <c r="C41">
        <v>1029</v>
      </c>
      <c r="D41">
        <f>D5</f>
        <v>1326</v>
      </c>
      <c r="E41">
        <f>E5</f>
        <v>219</v>
      </c>
      <c r="F41">
        <f>F5</f>
        <v>1545</v>
      </c>
      <c r="G41">
        <v>3</v>
      </c>
      <c r="H41">
        <f t="shared" si="5"/>
        <v>504</v>
      </c>
      <c r="I41">
        <f t="shared" si="6"/>
        <v>103824</v>
      </c>
      <c r="J41">
        <f t="shared" si="7"/>
        <v>92403.36</v>
      </c>
      <c r="K41">
        <f t="shared" si="8"/>
        <v>24696</v>
      </c>
      <c r="L41">
        <v>2023</v>
      </c>
      <c r="M41">
        <f>SUM(I56:I59)/SUM(B56:B59)</f>
        <v>5469.6551724137935</v>
      </c>
      <c r="N41">
        <v>8</v>
      </c>
      <c r="O41">
        <v>2023</v>
      </c>
    </row>
    <row r="42" spans="1:15" x14ac:dyDescent="0.35">
      <c r="A42">
        <v>2</v>
      </c>
      <c r="B42">
        <v>23</v>
      </c>
      <c r="C42">
        <v>1130</v>
      </c>
      <c r="D42">
        <f>D2</f>
        <v>3106</v>
      </c>
      <c r="E42">
        <f>E2</f>
        <v>369</v>
      </c>
      <c r="F42">
        <f>F2</f>
        <v>3475</v>
      </c>
      <c r="G42">
        <v>4</v>
      </c>
      <c r="H42">
        <f t="shared" si="5"/>
        <v>483</v>
      </c>
      <c r="I42">
        <f t="shared" si="6"/>
        <v>198996</v>
      </c>
      <c r="J42">
        <f t="shared" si="7"/>
        <v>177106.44</v>
      </c>
      <c r="K42">
        <f t="shared" si="8"/>
        <v>25990</v>
      </c>
      <c r="L42">
        <v>2023</v>
      </c>
      <c r="M42">
        <f>SUM(I60:I62)/SUM(B60:B62)</f>
        <v>7435.3125</v>
      </c>
      <c r="N42">
        <v>9</v>
      </c>
      <c r="O42">
        <v>2023</v>
      </c>
    </row>
    <row r="43" spans="1:15" x14ac:dyDescent="0.35">
      <c r="A43">
        <v>1</v>
      </c>
      <c r="B43">
        <v>22</v>
      </c>
      <c r="C43">
        <v>500</v>
      </c>
      <c r="D43">
        <f>D5</f>
        <v>1326</v>
      </c>
      <c r="E43">
        <f>E5</f>
        <v>219</v>
      </c>
      <c r="F43">
        <f>F5</f>
        <v>1545</v>
      </c>
      <c r="G43">
        <v>4</v>
      </c>
      <c r="H43">
        <f t="shared" si="5"/>
        <v>462</v>
      </c>
      <c r="I43">
        <f t="shared" si="6"/>
        <v>95172</v>
      </c>
      <c r="J43">
        <f t="shared" si="7"/>
        <v>84703.08</v>
      </c>
      <c r="K43">
        <f t="shared" si="8"/>
        <v>11000</v>
      </c>
      <c r="L43">
        <v>2023</v>
      </c>
      <c r="M43">
        <f>SUM(I63:I66)/SUM(B63:B66)</f>
        <v>5292.4468085106382</v>
      </c>
      <c r="N43">
        <v>10</v>
      </c>
      <c r="O43">
        <v>2023</v>
      </c>
    </row>
    <row r="44" spans="1:15" x14ac:dyDescent="0.35">
      <c r="A44">
        <v>2</v>
      </c>
      <c r="B44">
        <v>26</v>
      </c>
      <c r="C44">
        <v>1273</v>
      </c>
      <c r="D44">
        <v>3106</v>
      </c>
      <c r="E44">
        <v>369</v>
      </c>
      <c r="F44">
        <v>3475</v>
      </c>
      <c r="G44">
        <v>4</v>
      </c>
      <c r="H44">
        <f t="shared" si="5"/>
        <v>546</v>
      </c>
      <c r="I44">
        <f t="shared" si="6"/>
        <v>224952</v>
      </c>
      <c r="J44">
        <f t="shared" si="7"/>
        <v>200207.28</v>
      </c>
      <c r="K44">
        <f t="shared" si="8"/>
        <v>33098</v>
      </c>
      <c r="L44">
        <v>2023</v>
      </c>
      <c r="M44">
        <f>SUM(I68:I71)/SUM(B68:B71)</f>
        <v>6675.9259259259261</v>
      </c>
      <c r="N44">
        <v>3</v>
      </c>
      <c r="O44">
        <v>2021</v>
      </c>
    </row>
    <row r="45" spans="1:15" x14ac:dyDescent="0.35">
      <c r="A45">
        <v>2</v>
      </c>
      <c r="B45">
        <v>34</v>
      </c>
      <c r="C45">
        <v>650</v>
      </c>
      <c r="D45">
        <v>3106</v>
      </c>
      <c r="E45">
        <v>369</v>
      </c>
      <c r="F45">
        <v>3475</v>
      </c>
      <c r="G45">
        <v>4</v>
      </c>
      <c r="H45">
        <f t="shared" si="5"/>
        <v>714</v>
      </c>
      <c r="I45">
        <f t="shared" si="6"/>
        <v>294168</v>
      </c>
      <c r="J45">
        <f t="shared" si="7"/>
        <v>261809.52</v>
      </c>
      <c r="K45">
        <f t="shared" si="8"/>
        <v>22100</v>
      </c>
      <c r="L45">
        <v>2023</v>
      </c>
      <c r="M45">
        <f>SUM(I72:I75)/SUM(B72:B75)</f>
        <v>4326</v>
      </c>
      <c r="N45">
        <v>4</v>
      </c>
      <c r="O45">
        <v>2021</v>
      </c>
    </row>
    <row r="46" spans="1:15" x14ac:dyDescent="0.35">
      <c r="A46">
        <v>1</v>
      </c>
      <c r="B46">
        <v>22</v>
      </c>
      <c r="C46">
        <v>600</v>
      </c>
      <c r="D46">
        <v>1326</v>
      </c>
      <c r="E46">
        <v>219</v>
      </c>
      <c r="F46">
        <v>1545</v>
      </c>
      <c r="G46">
        <v>5</v>
      </c>
      <c r="H46">
        <f t="shared" si="5"/>
        <v>462</v>
      </c>
      <c r="I46">
        <f t="shared" si="6"/>
        <v>95172</v>
      </c>
      <c r="J46">
        <f t="shared" si="7"/>
        <v>84703.08</v>
      </c>
      <c r="K46">
        <f t="shared" si="8"/>
        <v>13200</v>
      </c>
      <c r="L46">
        <v>2023</v>
      </c>
      <c r="M46">
        <f>SUM(I76:I80)/SUM(B76:B80)</f>
        <v>6218.625</v>
      </c>
      <c r="N46">
        <v>5</v>
      </c>
      <c r="O46">
        <v>2021</v>
      </c>
    </row>
    <row r="47" spans="1:15" x14ac:dyDescent="0.35">
      <c r="A47">
        <v>1</v>
      </c>
      <c r="B47">
        <v>23</v>
      </c>
      <c r="C47">
        <v>600</v>
      </c>
      <c r="D47">
        <v>1326</v>
      </c>
      <c r="E47">
        <v>219</v>
      </c>
      <c r="F47">
        <v>1545</v>
      </c>
      <c r="G47">
        <v>5</v>
      </c>
      <c r="H47">
        <f t="shared" si="5"/>
        <v>483</v>
      </c>
      <c r="I47">
        <f t="shared" si="6"/>
        <v>99498</v>
      </c>
      <c r="J47">
        <f t="shared" si="7"/>
        <v>88553.22</v>
      </c>
      <c r="K47">
        <f t="shared" si="8"/>
        <v>13800</v>
      </c>
      <c r="L47">
        <v>2023</v>
      </c>
      <c r="M47">
        <f>SUM(I81:I83)/SUM(B81:B83)</f>
        <v>7454.0307692307688</v>
      </c>
      <c r="N47">
        <v>6</v>
      </c>
      <c r="O47">
        <v>2021</v>
      </c>
    </row>
    <row r="48" spans="1:15" x14ac:dyDescent="0.35">
      <c r="A48">
        <v>2</v>
      </c>
      <c r="B48">
        <v>21</v>
      </c>
      <c r="C48">
        <v>350</v>
      </c>
      <c r="D48">
        <f>D2</f>
        <v>3106</v>
      </c>
      <c r="E48">
        <f>E2</f>
        <v>369</v>
      </c>
      <c r="F48">
        <f>F2</f>
        <v>3475</v>
      </c>
      <c r="G48">
        <v>5</v>
      </c>
      <c r="H48">
        <f t="shared" si="5"/>
        <v>441</v>
      </c>
      <c r="I48">
        <f t="shared" si="6"/>
        <v>181692</v>
      </c>
      <c r="J48">
        <f t="shared" si="7"/>
        <v>161705.88</v>
      </c>
      <c r="K48">
        <f t="shared" si="8"/>
        <v>7350</v>
      </c>
      <c r="L48">
        <v>2023</v>
      </c>
      <c r="M48">
        <f>SUM(I84:I88)/SUM(B84:B88)</f>
        <v>15022.153846153846</v>
      </c>
      <c r="N48">
        <v>7</v>
      </c>
      <c r="O48">
        <v>2021</v>
      </c>
    </row>
    <row r="49" spans="1:15" x14ac:dyDescent="0.35">
      <c r="A49">
        <v>1</v>
      </c>
      <c r="B49">
        <v>26</v>
      </c>
      <c r="C49">
        <v>600</v>
      </c>
      <c r="D49">
        <v>1326</v>
      </c>
      <c r="E49">
        <v>219</v>
      </c>
      <c r="F49">
        <v>1545</v>
      </c>
      <c r="G49">
        <v>5</v>
      </c>
      <c r="H49">
        <f t="shared" si="5"/>
        <v>546</v>
      </c>
      <c r="I49">
        <f t="shared" si="6"/>
        <v>112476</v>
      </c>
      <c r="J49">
        <f t="shared" si="7"/>
        <v>100103.64</v>
      </c>
      <c r="K49">
        <f t="shared" si="8"/>
        <v>15600</v>
      </c>
      <c r="L49">
        <v>2023</v>
      </c>
      <c r="M49">
        <f>SUM(I89:I92)/SUM(B89:B92)</f>
        <v>5292.4468085106382</v>
      </c>
      <c r="N49">
        <v>8</v>
      </c>
      <c r="O49">
        <v>2021</v>
      </c>
    </row>
    <row r="50" spans="1:15" x14ac:dyDescent="0.35">
      <c r="A50">
        <v>1</v>
      </c>
      <c r="B50">
        <v>24</v>
      </c>
      <c r="C50">
        <v>600</v>
      </c>
      <c r="D50">
        <v>1326</v>
      </c>
      <c r="E50">
        <v>219</v>
      </c>
      <c r="F50">
        <v>1545</v>
      </c>
      <c r="G50">
        <v>6</v>
      </c>
      <c r="H50">
        <f t="shared" si="5"/>
        <v>504</v>
      </c>
      <c r="I50">
        <f t="shared" si="6"/>
        <v>103824</v>
      </c>
      <c r="J50">
        <f t="shared" si="7"/>
        <v>92403.36</v>
      </c>
      <c r="K50">
        <f t="shared" si="8"/>
        <v>14400</v>
      </c>
      <c r="L50">
        <v>2023</v>
      </c>
      <c r="M50">
        <f>SUM(I93:I96)/SUM(B93:B96)</f>
        <v>7429.434782608696</v>
      </c>
      <c r="N50">
        <v>9</v>
      </c>
      <c r="O50">
        <v>2021</v>
      </c>
    </row>
    <row r="51" spans="1:15" x14ac:dyDescent="0.35">
      <c r="A51">
        <v>2</v>
      </c>
      <c r="B51">
        <v>23</v>
      </c>
      <c r="C51">
        <v>780</v>
      </c>
      <c r="D51">
        <v>3106</v>
      </c>
      <c r="E51">
        <v>369</v>
      </c>
      <c r="F51">
        <v>3475</v>
      </c>
      <c r="G51">
        <v>6</v>
      </c>
      <c r="H51">
        <f t="shared" si="5"/>
        <v>483</v>
      </c>
      <c r="I51">
        <f t="shared" si="6"/>
        <v>198996</v>
      </c>
      <c r="J51">
        <f t="shared" si="7"/>
        <v>177106.44</v>
      </c>
      <c r="K51">
        <f t="shared" si="8"/>
        <v>17940</v>
      </c>
      <c r="L51">
        <v>2023</v>
      </c>
      <c r="M51">
        <f>SUM(I97:I99)/SUM(B97:B99)</f>
        <v>4326</v>
      </c>
      <c r="N51">
        <v>10</v>
      </c>
      <c r="O51">
        <v>2021</v>
      </c>
    </row>
    <row r="52" spans="1:15" x14ac:dyDescent="0.35">
      <c r="A52">
        <v>2</v>
      </c>
      <c r="B52">
        <v>16</v>
      </c>
      <c r="C52">
        <v>870</v>
      </c>
      <c r="D52">
        <v>3106</v>
      </c>
      <c r="E52">
        <v>369</v>
      </c>
      <c r="F52">
        <v>3475</v>
      </c>
      <c r="G52">
        <v>6</v>
      </c>
      <c r="H52">
        <f t="shared" si="5"/>
        <v>336</v>
      </c>
      <c r="I52">
        <f t="shared" si="6"/>
        <v>138432</v>
      </c>
      <c r="J52">
        <f t="shared" si="7"/>
        <v>123204.48</v>
      </c>
      <c r="K52">
        <f t="shared" si="8"/>
        <v>13920</v>
      </c>
      <c r="L52">
        <v>2023</v>
      </c>
      <c r="M52">
        <f>SUM(I100:I101)/SUM(B100:B101)</f>
        <v>8034</v>
      </c>
      <c r="N52">
        <v>11</v>
      </c>
      <c r="O52">
        <v>2021</v>
      </c>
    </row>
    <row r="53" spans="1:15" x14ac:dyDescent="0.35">
      <c r="A53">
        <v>2</v>
      </c>
      <c r="B53">
        <v>18</v>
      </c>
      <c r="C53">
        <v>730</v>
      </c>
      <c r="D53">
        <v>3106</v>
      </c>
      <c r="E53">
        <v>369</v>
      </c>
      <c r="F53">
        <v>3475</v>
      </c>
      <c r="G53">
        <v>7</v>
      </c>
      <c r="H53">
        <f t="shared" si="5"/>
        <v>378</v>
      </c>
      <c r="I53">
        <f t="shared" si="6"/>
        <v>155736</v>
      </c>
      <c r="J53">
        <f t="shared" si="7"/>
        <v>138605.04</v>
      </c>
      <c r="K53">
        <f t="shared" si="8"/>
        <v>13140</v>
      </c>
      <c r="L53">
        <v>2023</v>
      </c>
    </row>
    <row r="54" spans="1:15" x14ac:dyDescent="0.35">
      <c r="A54">
        <v>2</v>
      </c>
      <c r="B54">
        <v>21</v>
      </c>
      <c r="C54">
        <v>1100</v>
      </c>
      <c r="D54">
        <v>3106</v>
      </c>
      <c r="E54">
        <v>369</v>
      </c>
      <c r="F54">
        <v>3475</v>
      </c>
      <c r="G54">
        <v>7</v>
      </c>
      <c r="H54">
        <f t="shared" si="5"/>
        <v>441</v>
      </c>
      <c r="I54">
        <f t="shared" si="6"/>
        <v>181692</v>
      </c>
      <c r="J54">
        <f t="shared" si="7"/>
        <v>161705.88</v>
      </c>
      <c r="K54">
        <f t="shared" si="8"/>
        <v>23100</v>
      </c>
      <c r="L54">
        <v>2023</v>
      </c>
    </row>
    <row r="55" spans="1:15" x14ac:dyDescent="0.35">
      <c r="A55">
        <v>2</v>
      </c>
      <c r="B55">
        <v>22</v>
      </c>
      <c r="C55">
        <v>1100</v>
      </c>
      <c r="D55">
        <v>3106</v>
      </c>
      <c r="E55">
        <v>369</v>
      </c>
      <c r="F55">
        <v>3475</v>
      </c>
      <c r="G55">
        <v>7</v>
      </c>
      <c r="H55">
        <f t="shared" si="5"/>
        <v>462</v>
      </c>
      <c r="I55">
        <f t="shared" si="6"/>
        <v>190344</v>
      </c>
      <c r="J55">
        <f t="shared" si="7"/>
        <v>169406.16</v>
      </c>
      <c r="K55">
        <f t="shared" si="8"/>
        <v>24200</v>
      </c>
      <c r="L55">
        <v>2023</v>
      </c>
      <c r="M55" t="s">
        <v>17</v>
      </c>
      <c r="N55" t="s">
        <v>19</v>
      </c>
    </row>
    <row r="56" spans="1:15" x14ac:dyDescent="0.35">
      <c r="A56">
        <v>1</v>
      </c>
      <c r="B56">
        <v>19</v>
      </c>
      <c r="C56">
        <v>880</v>
      </c>
      <c r="D56">
        <v>1326</v>
      </c>
      <c r="E56">
        <v>219</v>
      </c>
      <c r="F56">
        <v>1545</v>
      </c>
      <c r="G56">
        <v>8</v>
      </c>
      <c r="H56">
        <f t="shared" si="5"/>
        <v>399</v>
      </c>
      <c r="I56">
        <f t="shared" si="6"/>
        <v>82194</v>
      </c>
      <c r="J56">
        <f t="shared" si="7"/>
        <v>73152.66</v>
      </c>
      <c r="K56">
        <f t="shared" si="8"/>
        <v>16720</v>
      </c>
      <c r="L56">
        <v>2023</v>
      </c>
      <c r="M56">
        <f>SUM(I2:I36)/673</f>
        <v>7397.5230312035665</v>
      </c>
      <c r="N56">
        <v>2022</v>
      </c>
    </row>
    <row r="57" spans="1:15" x14ac:dyDescent="0.35">
      <c r="A57">
        <v>1</v>
      </c>
      <c r="B57">
        <v>17</v>
      </c>
      <c r="C57">
        <v>800</v>
      </c>
      <c r="D57">
        <v>1326</v>
      </c>
      <c r="E57">
        <v>219</v>
      </c>
      <c r="F57">
        <v>1545</v>
      </c>
      <c r="G57">
        <v>8</v>
      </c>
      <c r="H57">
        <f t="shared" si="5"/>
        <v>357</v>
      </c>
      <c r="I57">
        <f t="shared" si="6"/>
        <v>73542</v>
      </c>
      <c r="J57">
        <f t="shared" si="7"/>
        <v>65452.38</v>
      </c>
      <c r="K57">
        <f t="shared" si="8"/>
        <v>13600</v>
      </c>
      <c r="L57">
        <v>2023</v>
      </c>
      <c r="M57">
        <f>SUM(I38:I66)/617</f>
        <v>6576.6418152350079</v>
      </c>
      <c r="N57">
        <v>2023</v>
      </c>
    </row>
    <row r="58" spans="1:15" x14ac:dyDescent="0.35">
      <c r="A58">
        <v>2</v>
      </c>
      <c r="B58">
        <v>23</v>
      </c>
      <c r="C58">
        <v>870</v>
      </c>
      <c r="D58">
        <f>D2</f>
        <v>3106</v>
      </c>
      <c r="E58">
        <f>E2</f>
        <v>369</v>
      </c>
      <c r="F58">
        <f>F2</f>
        <v>3475</v>
      </c>
      <c r="G58">
        <v>8</v>
      </c>
      <c r="H58">
        <f t="shared" si="5"/>
        <v>483</v>
      </c>
      <c r="I58">
        <f t="shared" si="6"/>
        <v>198996</v>
      </c>
      <c r="J58">
        <f t="shared" si="7"/>
        <v>177106.44</v>
      </c>
      <c r="K58">
        <f t="shared" si="8"/>
        <v>20010</v>
      </c>
      <c r="L58">
        <v>2023</v>
      </c>
      <c r="M58">
        <f>SUM(I68:I101)/SUM(B68:B101)</f>
        <v>8073.772277227723</v>
      </c>
      <c r="N58">
        <v>2021</v>
      </c>
    </row>
    <row r="59" spans="1:15" x14ac:dyDescent="0.35">
      <c r="A59">
        <v>1</v>
      </c>
      <c r="B59">
        <v>28</v>
      </c>
      <c r="C59">
        <v>600</v>
      </c>
      <c r="D59">
        <f>D5</f>
        <v>1326</v>
      </c>
      <c r="E59">
        <f>E5</f>
        <v>219</v>
      </c>
      <c r="F59">
        <f>F5</f>
        <v>1545</v>
      </c>
      <c r="G59">
        <v>8</v>
      </c>
      <c r="H59">
        <f t="shared" si="5"/>
        <v>588</v>
      </c>
      <c r="I59">
        <f t="shared" si="6"/>
        <v>121128</v>
      </c>
      <c r="J59">
        <f t="shared" si="7"/>
        <v>107803.92</v>
      </c>
      <c r="K59">
        <f t="shared" si="8"/>
        <v>16800</v>
      </c>
      <c r="L59">
        <v>2023</v>
      </c>
    </row>
    <row r="60" spans="1:15" x14ac:dyDescent="0.35">
      <c r="A60">
        <v>2</v>
      </c>
      <c r="B60">
        <v>25</v>
      </c>
      <c r="C60">
        <v>870</v>
      </c>
      <c r="D60">
        <v>3106</v>
      </c>
      <c r="E60">
        <v>369</v>
      </c>
      <c r="F60">
        <v>3475</v>
      </c>
      <c r="G60">
        <v>9</v>
      </c>
      <c r="H60">
        <f t="shared" si="5"/>
        <v>525</v>
      </c>
      <c r="I60">
        <f t="shared" si="6"/>
        <v>216300</v>
      </c>
      <c r="J60">
        <f t="shared" si="7"/>
        <v>192507</v>
      </c>
      <c r="K60">
        <f t="shared" si="8"/>
        <v>21750</v>
      </c>
      <c r="L60">
        <v>2023</v>
      </c>
    </row>
    <row r="61" spans="1:15" x14ac:dyDescent="0.35">
      <c r="A61">
        <v>2</v>
      </c>
      <c r="B61">
        <v>21</v>
      </c>
      <c r="C61">
        <v>770</v>
      </c>
      <c r="D61">
        <v>3106</v>
      </c>
      <c r="E61">
        <v>369</v>
      </c>
      <c r="F61">
        <v>3475</v>
      </c>
      <c r="G61">
        <v>9</v>
      </c>
      <c r="H61">
        <f t="shared" si="5"/>
        <v>441</v>
      </c>
      <c r="I61">
        <f t="shared" si="6"/>
        <v>181692</v>
      </c>
      <c r="J61">
        <f t="shared" si="7"/>
        <v>161705.88</v>
      </c>
      <c r="K61">
        <f t="shared" si="8"/>
        <v>16170</v>
      </c>
      <c r="L61">
        <v>2023</v>
      </c>
    </row>
    <row r="62" spans="1:15" x14ac:dyDescent="0.35">
      <c r="A62">
        <v>1</v>
      </c>
      <c r="B62">
        <v>18</v>
      </c>
      <c r="C62">
        <v>480</v>
      </c>
      <c r="D62">
        <v>1326</v>
      </c>
      <c r="E62">
        <v>219</v>
      </c>
      <c r="F62">
        <v>1545</v>
      </c>
      <c r="G62">
        <v>9</v>
      </c>
      <c r="H62">
        <f t="shared" si="5"/>
        <v>378</v>
      </c>
      <c r="I62">
        <f t="shared" si="6"/>
        <v>77868</v>
      </c>
      <c r="J62">
        <f t="shared" si="7"/>
        <v>69302.52</v>
      </c>
      <c r="K62">
        <f t="shared" si="8"/>
        <v>8640</v>
      </c>
      <c r="L62">
        <v>2023</v>
      </c>
    </row>
    <row r="63" spans="1:15" x14ac:dyDescent="0.35">
      <c r="A63">
        <v>2</v>
      </c>
      <c r="B63">
        <v>21</v>
      </c>
      <c r="C63">
        <v>750</v>
      </c>
      <c r="D63">
        <v>3106</v>
      </c>
      <c r="E63">
        <v>369</v>
      </c>
      <c r="F63">
        <v>3475</v>
      </c>
      <c r="G63">
        <v>10</v>
      </c>
      <c r="H63">
        <f t="shared" si="5"/>
        <v>441</v>
      </c>
      <c r="I63">
        <f t="shared" si="6"/>
        <v>181692</v>
      </c>
      <c r="J63">
        <f t="shared" si="7"/>
        <v>161705.88</v>
      </c>
      <c r="K63">
        <f t="shared" si="8"/>
        <v>15750</v>
      </c>
      <c r="L63">
        <v>2023</v>
      </c>
    </row>
    <row r="64" spans="1:15" x14ac:dyDescent="0.35">
      <c r="A64">
        <v>1</v>
      </c>
      <c r="B64">
        <v>23</v>
      </c>
      <c r="C64">
        <v>600</v>
      </c>
      <c r="D64">
        <v>1326</v>
      </c>
      <c r="E64">
        <v>219</v>
      </c>
      <c r="F64">
        <v>1545</v>
      </c>
      <c r="G64">
        <v>10</v>
      </c>
      <c r="H64">
        <f t="shared" si="5"/>
        <v>483</v>
      </c>
      <c r="I64">
        <f t="shared" si="6"/>
        <v>99498</v>
      </c>
      <c r="J64">
        <f t="shared" si="7"/>
        <v>88553.22</v>
      </c>
      <c r="K64">
        <f t="shared" si="8"/>
        <v>13800</v>
      </c>
      <c r="L64">
        <v>2023</v>
      </c>
    </row>
    <row r="65" spans="1:12" x14ac:dyDescent="0.35">
      <c r="A65">
        <v>1</v>
      </c>
      <c r="B65">
        <v>29</v>
      </c>
      <c r="C65">
        <v>600</v>
      </c>
      <c r="D65">
        <v>1326</v>
      </c>
      <c r="E65">
        <v>219</v>
      </c>
      <c r="F65">
        <v>1545</v>
      </c>
      <c r="G65">
        <v>10</v>
      </c>
      <c r="H65">
        <f t="shared" si="5"/>
        <v>609</v>
      </c>
      <c r="I65">
        <f t="shared" si="6"/>
        <v>125454</v>
      </c>
      <c r="J65">
        <f t="shared" si="7"/>
        <v>111654.06</v>
      </c>
      <c r="K65">
        <f t="shared" si="8"/>
        <v>17400</v>
      </c>
      <c r="L65">
        <v>2023</v>
      </c>
    </row>
    <row r="66" spans="1:12" x14ac:dyDescent="0.35">
      <c r="A66">
        <v>1</v>
      </c>
      <c r="B66">
        <v>21</v>
      </c>
      <c r="C66">
        <v>480</v>
      </c>
      <c r="D66">
        <v>1326</v>
      </c>
      <c r="E66">
        <v>219</v>
      </c>
      <c r="F66">
        <v>1545</v>
      </c>
      <c r="G66">
        <v>10</v>
      </c>
      <c r="H66">
        <f t="shared" si="5"/>
        <v>441</v>
      </c>
      <c r="I66">
        <f t="shared" si="6"/>
        <v>90846</v>
      </c>
      <c r="J66">
        <f t="shared" si="7"/>
        <v>80852.94</v>
      </c>
      <c r="K66">
        <f t="shared" si="8"/>
        <v>10080</v>
      </c>
      <c r="L66">
        <v>2023</v>
      </c>
    </row>
    <row r="67" spans="1:12" x14ac:dyDescent="0.3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17</v>
      </c>
      <c r="J67" t="s">
        <v>9</v>
      </c>
      <c r="K67" t="s">
        <v>29</v>
      </c>
      <c r="L67" t="s">
        <v>25</v>
      </c>
    </row>
    <row r="68" spans="1:12" x14ac:dyDescent="0.35">
      <c r="A68">
        <v>1</v>
      </c>
      <c r="B68">
        <v>21</v>
      </c>
      <c r="C68">
        <v>1000</v>
      </c>
      <c r="D68">
        <v>1326</v>
      </c>
      <c r="E68">
        <v>219</v>
      </c>
      <c r="F68">
        <v>1545</v>
      </c>
      <c r="G68">
        <v>3</v>
      </c>
      <c r="H68">
        <f t="shared" ref="H68:H101" si="9">B68*21</f>
        <v>441</v>
      </c>
      <c r="I68">
        <f t="shared" ref="I68:I101" si="10">A68*H68*206</f>
        <v>90846</v>
      </c>
      <c r="J68">
        <f t="shared" ref="J68:J101" si="11">I68*0.89</f>
        <v>80852.94</v>
      </c>
      <c r="K68">
        <f t="shared" ref="K68:K101" si="12">C68*B68</f>
        <v>21000</v>
      </c>
      <c r="L68">
        <v>2021</v>
      </c>
    </row>
    <row r="69" spans="1:12" x14ac:dyDescent="0.35">
      <c r="A69">
        <v>1</v>
      </c>
      <c r="B69">
        <v>23</v>
      </c>
      <c r="C69">
        <v>600</v>
      </c>
      <c r="D69">
        <v>1326</v>
      </c>
      <c r="E69">
        <v>219</v>
      </c>
      <c r="F69">
        <v>1545</v>
      </c>
      <c r="G69">
        <v>3</v>
      </c>
      <c r="H69">
        <f t="shared" si="9"/>
        <v>483</v>
      </c>
      <c r="I69">
        <f t="shared" si="10"/>
        <v>99498</v>
      </c>
      <c r="J69">
        <f t="shared" si="11"/>
        <v>88553.22</v>
      </c>
      <c r="K69">
        <f t="shared" si="12"/>
        <v>13800</v>
      </c>
      <c r="L69">
        <v>2021</v>
      </c>
    </row>
    <row r="70" spans="1:12" x14ac:dyDescent="0.35">
      <c r="A70">
        <v>3</v>
      </c>
      <c r="B70">
        <v>22</v>
      </c>
      <c r="C70">
        <v>0</v>
      </c>
      <c r="D70">
        <v>5482</v>
      </c>
      <c r="E70">
        <v>575</v>
      </c>
      <c r="F70">
        <v>6057</v>
      </c>
      <c r="G70">
        <v>3</v>
      </c>
      <c r="H70">
        <f t="shared" si="9"/>
        <v>462</v>
      </c>
      <c r="I70">
        <f t="shared" si="10"/>
        <v>285516</v>
      </c>
      <c r="J70">
        <f t="shared" si="11"/>
        <v>254109.24</v>
      </c>
      <c r="K70">
        <f t="shared" si="12"/>
        <v>0</v>
      </c>
      <c r="L70">
        <v>2021</v>
      </c>
    </row>
    <row r="71" spans="1:12" x14ac:dyDescent="0.35">
      <c r="A71">
        <v>1</v>
      </c>
      <c r="B71">
        <v>15</v>
      </c>
      <c r="C71">
        <v>0</v>
      </c>
      <c r="D71">
        <v>1326</v>
      </c>
      <c r="E71">
        <v>219</v>
      </c>
      <c r="F71">
        <v>1545</v>
      </c>
      <c r="G71">
        <v>3</v>
      </c>
      <c r="H71">
        <f t="shared" si="9"/>
        <v>315</v>
      </c>
      <c r="I71">
        <f t="shared" si="10"/>
        <v>64890</v>
      </c>
      <c r="J71">
        <f t="shared" si="11"/>
        <v>57752.1</v>
      </c>
      <c r="K71">
        <f t="shared" si="12"/>
        <v>0</v>
      </c>
      <c r="L71">
        <v>2021</v>
      </c>
    </row>
    <row r="72" spans="1:12" x14ac:dyDescent="0.35">
      <c r="A72">
        <v>1</v>
      </c>
      <c r="B72">
        <v>18</v>
      </c>
      <c r="C72">
        <v>600</v>
      </c>
      <c r="D72">
        <v>1326</v>
      </c>
      <c r="E72">
        <v>219</v>
      </c>
      <c r="F72">
        <v>1545</v>
      </c>
      <c r="G72">
        <v>4</v>
      </c>
      <c r="H72">
        <f t="shared" si="9"/>
        <v>378</v>
      </c>
      <c r="I72">
        <f t="shared" si="10"/>
        <v>77868</v>
      </c>
      <c r="J72">
        <f t="shared" si="11"/>
        <v>69302.52</v>
      </c>
      <c r="K72">
        <f t="shared" si="12"/>
        <v>10800</v>
      </c>
      <c r="L72">
        <v>2021</v>
      </c>
    </row>
    <row r="73" spans="1:12" x14ac:dyDescent="0.35">
      <c r="A73">
        <v>1</v>
      </c>
      <c r="B73">
        <v>20</v>
      </c>
      <c r="C73">
        <v>500</v>
      </c>
      <c r="D73">
        <v>1326</v>
      </c>
      <c r="E73">
        <v>219</v>
      </c>
      <c r="F73">
        <v>1545</v>
      </c>
      <c r="G73">
        <v>4</v>
      </c>
      <c r="H73">
        <f t="shared" si="9"/>
        <v>420</v>
      </c>
      <c r="I73">
        <f t="shared" si="10"/>
        <v>86520</v>
      </c>
      <c r="J73">
        <f t="shared" si="11"/>
        <v>77002.8</v>
      </c>
      <c r="K73">
        <f t="shared" si="12"/>
        <v>10000</v>
      </c>
      <c r="L73">
        <v>2021</v>
      </c>
    </row>
    <row r="74" spans="1:12" x14ac:dyDescent="0.35">
      <c r="A74">
        <v>1</v>
      </c>
      <c r="B74">
        <v>25</v>
      </c>
      <c r="C74">
        <v>600</v>
      </c>
      <c r="D74">
        <v>1326</v>
      </c>
      <c r="E74">
        <v>219</v>
      </c>
      <c r="F74">
        <v>1545</v>
      </c>
      <c r="G74">
        <v>4</v>
      </c>
      <c r="H74">
        <f t="shared" si="9"/>
        <v>525</v>
      </c>
      <c r="I74">
        <f t="shared" si="10"/>
        <v>108150</v>
      </c>
      <c r="J74">
        <f t="shared" si="11"/>
        <v>96253.5</v>
      </c>
      <c r="K74">
        <f t="shared" si="12"/>
        <v>15000</v>
      </c>
      <c r="L74">
        <v>2021</v>
      </c>
    </row>
    <row r="75" spans="1:12" x14ac:dyDescent="0.35">
      <c r="A75">
        <v>1</v>
      </c>
      <c r="B75">
        <v>25</v>
      </c>
      <c r="C75">
        <v>711.25</v>
      </c>
      <c r="D75">
        <v>1326</v>
      </c>
      <c r="E75">
        <v>219</v>
      </c>
      <c r="F75">
        <v>1545</v>
      </c>
      <c r="G75">
        <v>4</v>
      </c>
      <c r="H75">
        <f t="shared" si="9"/>
        <v>525</v>
      </c>
      <c r="I75">
        <f t="shared" si="10"/>
        <v>108150</v>
      </c>
      <c r="J75">
        <f t="shared" si="11"/>
        <v>96253.5</v>
      </c>
      <c r="K75">
        <f t="shared" si="12"/>
        <v>17781.25</v>
      </c>
      <c r="L75">
        <v>2021</v>
      </c>
    </row>
    <row r="76" spans="1:12" x14ac:dyDescent="0.35">
      <c r="A76">
        <v>2</v>
      </c>
      <c r="B76">
        <v>20</v>
      </c>
      <c r="C76">
        <v>750</v>
      </c>
      <c r="D76">
        <v>3106</v>
      </c>
      <c r="E76">
        <v>369</v>
      </c>
      <c r="F76">
        <v>3475</v>
      </c>
      <c r="G76">
        <v>5</v>
      </c>
      <c r="H76">
        <f t="shared" si="9"/>
        <v>420</v>
      </c>
      <c r="I76">
        <f t="shared" si="10"/>
        <v>173040</v>
      </c>
      <c r="J76">
        <f t="shared" si="11"/>
        <v>154005.6</v>
      </c>
      <c r="K76">
        <f t="shared" si="12"/>
        <v>15000</v>
      </c>
      <c r="L76">
        <v>2021</v>
      </c>
    </row>
    <row r="77" spans="1:12" x14ac:dyDescent="0.35">
      <c r="A77">
        <v>1</v>
      </c>
      <c r="B77">
        <v>20</v>
      </c>
      <c r="C77">
        <v>870</v>
      </c>
      <c r="D77">
        <v>1326</v>
      </c>
      <c r="E77">
        <v>219</v>
      </c>
      <c r="F77">
        <v>1545</v>
      </c>
      <c r="G77">
        <v>5</v>
      </c>
      <c r="H77">
        <f t="shared" si="9"/>
        <v>420</v>
      </c>
      <c r="I77">
        <f t="shared" si="10"/>
        <v>86520</v>
      </c>
      <c r="J77">
        <f t="shared" si="11"/>
        <v>77002.8</v>
      </c>
      <c r="K77">
        <f t="shared" si="12"/>
        <v>17400</v>
      </c>
      <c r="L77">
        <v>2021</v>
      </c>
    </row>
    <row r="78" spans="1:12" x14ac:dyDescent="0.35">
      <c r="A78">
        <v>1</v>
      </c>
      <c r="B78">
        <v>20</v>
      </c>
      <c r="C78">
        <v>500</v>
      </c>
      <c r="D78">
        <v>1326</v>
      </c>
      <c r="E78">
        <v>219</v>
      </c>
      <c r="F78">
        <v>1545</v>
      </c>
      <c r="G78">
        <v>5</v>
      </c>
      <c r="H78">
        <f t="shared" si="9"/>
        <v>420</v>
      </c>
      <c r="I78">
        <f t="shared" si="10"/>
        <v>86520</v>
      </c>
      <c r="J78">
        <f t="shared" si="11"/>
        <v>77002.8</v>
      </c>
      <c r="K78">
        <f t="shared" si="12"/>
        <v>10000</v>
      </c>
      <c r="L78">
        <v>2021</v>
      </c>
    </row>
    <row r="79" spans="1:12" x14ac:dyDescent="0.35">
      <c r="A79">
        <v>1</v>
      </c>
      <c r="B79">
        <v>14</v>
      </c>
      <c r="C79">
        <v>270</v>
      </c>
      <c r="D79">
        <v>1326</v>
      </c>
      <c r="E79">
        <v>219</v>
      </c>
      <c r="F79">
        <v>1545</v>
      </c>
      <c r="G79">
        <v>5</v>
      </c>
      <c r="H79">
        <f t="shared" si="9"/>
        <v>294</v>
      </c>
      <c r="I79">
        <f t="shared" si="10"/>
        <v>60564</v>
      </c>
      <c r="J79">
        <f t="shared" si="11"/>
        <v>53901.96</v>
      </c>
      <c r="K79">
        <f t="shared" si="12"/>
        <v>3780</v>
      </c>
      <c r="L79">
        <v>2021</v>
      </c>
    </row>
    <row r="80" spans="1:12" x14ac:dyDescent="0.35">
      <c r="A80">
        <v>2</v>
      </c>
      <c r="B80">
        <v>22</v>
      </c>
      <c r="C80">
        <v>870</v>
      </c>
      <c r="D80">
        <v>3106</v>
      </c>
      <c r="E80">
        <v>369</v>
      </c>
      <c r="F80">
        <v>3475</v>
      </c>
      <c r="G80">
        <v>5</v>
      </c>
      <c r="H80">
        <f t="shared" si="9"/>
        <v>462</v>
      </c>
      <c r="I80">
        <f t="shared" si="10"/>
        <v>190344</v>
      </c>
      <c r="J80">
        <f t="shared" si="11"/>
        <v>169406.16</v>
      </c>
      <c r="K80">
        <f t="shared" si="12"/>
        <v>19140</v>
      </c>
      <c r="L80">
        <v>2021</v>
      </c>
    </row>
    <row r="81" spans="1:12" x14ac:dyDescent="0.35">
      <c r="A81">
        <v>2</v>
      </c>
      <c r="B81">
        <v>20</v>
      </c>
      <c r="C81">
        <v>870</v>
      </c>
      <c r="D81">
        <v>3106</v>
      </c>
      <c r="E81">
        <v>369</v>
      </c>
      <c r="F81">
        <v>3475</v>
      </c>
      <c r="G81">
        <v>6</v>
      </c>
      <c r="H81">
        <f t="shared" si="9"/>
        <v>420</v>
      </c>
      <c r="I81">
        <f t="shared" si="10"/>
        <v>173040</v>
      </c>
      <c r="J81">
        <f t="shared" si="11"/>
        <v>154005.6</v>
      </c>
      <c r="K81">
        <f t="shared" si="12"/>
        <v>17400</v>
      </c>
      <c r="L81">
        <v>2021</v>
      </c>
    </row>
    <row r="82" spans="1:12" x14ac:dyDescent="0.35">
      <c r="A82">
        <v>2</v>
      </c>
      <c r="B82">
        <v>27</v>
      </c>
      <c r="C82">
        <v>750</v>
      </c>
      <c r="D82">
        <v>3106</v>
      </c>
      <c r="E82">
        <v>369</v>
      </c>
      <c r="F82">
        <v>3475</v>
      </c>
      <c r="G82">
        <v>6</v>
      </c>
      <c r="H82">
        <f t="shared" si="9"/>
        <v>567</v>
      </c>
      <c r="I82">
        <f t="shared" si="10"/>
        <v>233604</v>
      </c>
      <c r="J82">
        <f t="shared" si="11"/>
        <v>207907.56</v>
      </c>
      <c r="K82">
        <f t="shared" si="12"/>
        <v>20250</v>
      </c>
      <c r="L82">
        <v>2021</v>
      </c>
    </row>
    <row r="83" spans="1:12" x14ac:dyDescent="0.35">
      <c r="A83">
        <v>1</v>
      </c>
      <c r="B83">
        <v>18</v>
      </c>
      <c r="C83">
        <v>600</v>
      </c>
      <c r="D83">
        <v>1326</v>
      </c>
      <c r="E83">
        <v>219</v>
      </c>
      <c r="F83">
        <v>1545</v>
      </c>
      <c r="G83">
        <v>6</v>
      </c>
      <c r="H83">
        <f t="shared" si="9"/>
        <v>378</v>
      </c>
      <c r="I83">
        <f t="shared" si="10"/>
        <v>77868</v>
      </c>
      <c r="J83">
        <f t="shared" si="11"/>
        <v>69302.52</v>
      </c>
      <c r="K83">
        <f t="shared" si="12"/>
        <v>10800</v>
      </c>
      <c r="L83">
        <v>2021</v>
      </c>
    </row>
    <row r="84" spans="1:12" x14ac:dyDescent="0.35">
      <c r="A84">
        <v>2</v>
      </c>
      <c r="B84">
        <v>24</v>
      </c>
      <c r="C84">
        <v>750</v>
      </c>
      <c r="D84">
        <v>3106</v>
      </c>
      <c r="E84">
        <v>369</v>
      </c>
      <c r="F84">
        <v>3475</v>
      </c>
      <c r="G84">
        <v>7</v>
      </c>
      <c r="H84">
        <f t="shared" si="9"/>
        <v>504</v>
      </c>
      <c r="I84">
        <f t="shared" si="10"/>
        <v>207648</v>
      </c>
      <c r="J84">
        <f t="shared" si="11"/>
        <v>184806.72</v>
      </c>
      <c r="K84">
        <f t="shared" si="12"/>
        <v>18000</v>
      </c>
      <c r="L84">
        <v>2021</v>
      </c>
    </row>
    <row r="85" spans="1:12" x14ac:dyDescent="0.35">
      <c r="A85">
        <v>2</v>
      </c>
      <c r="B85">
        <v>20</v>
      </c>
      <c r="C85">
        <v>0</v>
      </c>
      <c r="D85">
        <v>3106</v>
      </c>
      <c r="E85">
        <v>369</v>
      </c>
      <c r="F85">
        <v>3475</v>
      </c>
      <c r="G85">
        <v>7</v>
      </c>
      <c r="H85">
        <f t="shared" si="9"/>
        <v>420</v>
      </c>
      <c r="I85">
        <f t="shared" si="10"/>
        <v>173040</v>
      </c>
      <c r="J85">
        <f t="shared" si="11"/>
        <v>154005.6</v>
      </c>
      <c r="K85">
        <f t="shared" si="12"/>
        <v>0</v>
      </c>
      <c r="L85">
        <v>2021</v>
      </c>
    </row>
    <row r="86" spans="1:12" x14ac:dyDescent="0.35">
      <c r="A86">
        <v>4</v>
      </c>
      <c r="B86">
        <v>42</v>
      </c>
      <c r="C86">
        <v>1050</v>
      </c>
      <c r="D86">
        <v>7000</v>
      </c>
      <c r="E86">
        <v>700</v>
      </c>
      <c r="F86">
        <v>7700</v>
      </c>
      <c r="G86">
        <v>7</v>
      </c>
      <c r="H86">
        <f t="shared" si="9"/>
        <v>882</v>
      </c>
      <c r="I86">
        <f t="shared" si="10"/>
        <v>726768</v>
      </c>
      <c r="J86">
        <f t="shared" si="11"/>
        <v>646823.52</v>
      </c>
      <c r="K86">
        <f t="shared" si="12"/>
        <v>44100</v>
      </c>
      <c r="L86">
        <v>2021</v>
      </c>
    </row>
    <row r="87" spans="1:12" x14ac:dyDescent="0.35">
      <c r="A87">
        <v>5</v>
      </c>
      <c r="B87">
        <v>70</v>
      </c>
      <c r="C87">
        <v>0</v>
      </c>
      <c r="D87">
        <v>10000</v>
      </c>
      <c r="E87">
        <v>1100</v>
      </c>
      <c r="F87">
        <v>11100</v>
      </c>
      <c r="G87">
        <v>7</v>
      </c>
      <c r="H87">
        <f t="shared" si="9"/>
        <v>1470</v>
      </c>
      <c r="I87">
        <f t="shared" si="10"/>
        <v>1514100</v>
      </c>
      <c r="J87">
        <f t="shared" si="11"/>
        <v>1347549</v>
      </c>
      <c r="K87">
        <f t="shared" si="12"/>
        <v>0</v>
      </c>
      <c r="L87">
        <v>2021</v>
      </c>
    </row>
    <row r="88" spans="1:12" x14ac:dyDescent="0.35">
      <c r="A88">
        <v>1</v>
      </c>
      <c r="B88">
        <v>26</v>
      </c>
      <c r="C88">
        <v>600</v>
      </c>
      <c r="D88">
        <v>1326</v>
      </c>
      <c r="E88">
        <v>219</v>
      </c>
      <c r="F88">
        <v>1545</v>
      </c>
      <c r="G88">
        <v>7</v>
      </c>
      <c r="H88">
        <f t="shared" si="9"/>
        <v>546</v>
      </c>
      <c r="I88">
        <f t="shared" si="10"/>
        <v>112476</v>
      </c>
      <c r="J88">
        <f t="shared" si="11"/>
        <v>100103.64</v>
      </c>
      <c r="K88">
        <f t="shared" si="12"/>
        <v>15600</v>
      </c>
      <c r="L88">
        <v>2021</v>
      </c>
    </row>
    <row r="89" spans="1:12" x14ac:dyDescent="0.35">
      <c r="A89">
        <v>1</v>
      </c>
      <c r="B89">
        <v>22</v>
      </c>
      <c r="C89">
        <v>600</v>
      </c>
      <c r="D89">
        <v>1326</v>
      </c>
      <c r="E89">
        <v>219</v>
      </c>
      <c r="F89">
        <v>1545</v>
      </c>
      <c r="G89">
        <v>8</v>
      </c>
      <c r="H89">
        <f t="shared" si="9"/>
        <v>462</v>
      </c>
      <c r="I89">
        <f t="shared" si="10"/>
        <v>95172</v>
      </c>
      <c r="J89">
        <f t="shared" si="11"/>
        <v>84703.08</v>
      </c>
      <c r="K89">
        <f t="shared" si="12"/>
        <v>13200</v>
      </c>
      <c r="L89">
        <v>2021</v>
      </c>
    </row>
    <row r="90" spans="1:12" x14ac:dyDescent="0.35">
      <c r="A90">
        <v>1</v>
      </c>
      <c r="B90">
        <v>20</v>
      </c>
      <c r="C90">
        <v>1200</v>
      </c>
      <c r="D90">
        <v>1326</v>
      </c>
      <c r="E90">
        <v>219</v>
      </c>
      <c r="F90">
        <v>1545</v>
      </c>
      <c r="G90">
        <v>8</v>
      </c>
      <c r="H90">
        <f t="shared" si="9"/>
        <v>420</v>
      </c>
      <c r="I90">
        <f t="shared" si="10"/>
        <v>86520</v>
      </c>
      <c r="J90">
        <f t="shared" si="11"/>
        <v>77002.8</v>
      </c>
      <c r="K90">
        <f t="shared" si="12"/>
        <v>24000</v>
      </c>
      <c r="L90">
        <v>2021</v>
      </c>
    </row>
    <row r="91" spans="1:12" x14ac:dyDescent="0.35">
      <c r="A91">
        <v>2</v>
      </c>
      <c r="B91">
        <v>21</v>
      </c>
      <c r="C91">
        <v>770</v>
      </c>
      <c r="D91">
        <v>3106</v>
      </c>
      <c r="E91">
        <v>369</v>
      </c>
      <c r="F91">
        <v>3475</v>
      </c>
      <c r="G91">
        <v>8</v>
      </c>
      <c r="H91">
        <f t="shared" si="9"/>
        <v>441</v>
      </c>
      <c r="I91">
        <f t="shared" si="10"/>
        <v>181692</v>
      </c>
      <c r="J91">
        <f t="shared" si="11"/>
        <v>161705.88</v>
      </c>
      <c r="K91">
        <f t="shared" si="12"/>
        <v>16170</v>
      </c>
      <c r="L91">
        <v>2021</v>
      </c>
    </row>
    <row r="92" spans="1:12" x14ac:dyDescent="0.35">
      <c r="A92">
        <v>1</v>
      </c>
      <c r="B92">
        <v>31</v>
      </c>
      <c r="C92">
        <v>0</v>
      </c>
      <c r="D92">
        <v>1326</v>
      </c>
      <c r="E92">
        <v>217</v>
      </c>
      <c r="F92">
        <v>1545</v>
      </c>
      <c r="G92">
        <v>8</v>
      </c>
      <c r="H92">
        <f t="shared" si="9"/>
        <v>651</v>
      </c>
      <c r="I92">
        <f t="shared" si="10"/>
        <v>134106</v>
      </c>
      <c r="J92">
        <f t="shared" si="11"/>
        <v>119354.34</v>
      </c>
      <c r="K92">
        <f t="shared" si="12"/>
        <v>0</v>
      </c>
      <c r="L92">
        <v>2021</v>
      </c>
    </row>
    <row r="93" spans="1:12" x14ac:dyDescent="0.35">
      <c r="A93">
        <v>2</v>
      </c>
      <c r="B93">
        <v>16</v>
      </c>
      <c r="C93">
        <v>870</v>
      </c>
      <c r="D93">
        <v>3106</v>
      </c>
      <c r="E93">
        <v>369</v>
      </c>
      <c r="F93">
        <v>3475</v>
      </c>
      <c r="G93">
        <v>9</v>
      </c>
      <c r="H93">
        <f t="shared" si="9"/>
        <v>336</v>
      </c>
      <c r="I93">
        <f t="shared" si="10"/>
        <v>138432</v>
      </c>
      <c r="J93">
        <f t="shared" si="11"/>
        <v>123204.48</v>
      </c>
      <c r="K93">
        <f t="shared" si="12"/>
        <v>13920</v>
      </c>
      <c r="L93">
        <v>2021</v>
      </c>
    </row>
    <row r="94" spans="1:12" x14ac:dyDescent="0.35">
      <c r="A94">
        <v>2</v>
      </c>
      <c r="B94">
        <v>22</v>
      </c>
      <c r="C94">
        <v>0</v>
      </c>
      <c r="D94">
        <v>3106</v>
      </c>
      <c r="E94">
        <v>369</v>
      </c>
      <c r="F94">
        <v>3475</v>
      </c>
      <c r="G94">
        <v>9</v>
      </c>
      <c r="H94">
        <f t="shared" si="9"/>
        <v>462</v>
      </c>
      <c r="I94">
        <f t="shared" si="10"/>
        <v>190344</v>
      </c>
      <c r="J94">
        <f t="shared" si="11"/>
        <v>169406.16</v>
      </c>
      <c r="K94">
        <f t="shared" si="12"/>
        <v>0</v>
      </c>
      <c r="L94">
        <v>2021</v>
      </c>
    </row>
    <row r="95" spans="1:12" x14ac:dyDescent="0.35">
      <c r="A95">
        <v>2</v>
      </c>
      <c r="B95">
        <v>28</v>
      </c>
      <c r="C95">
        <v>750</v>
      </c>
      <c r="D95">
        <v>3106</v>
      </c>
      <c r="E95">
        <v>369</v>
      </c>
      <c r="F95">
        <v>3475</v>
      </c>
      <c r="G95">
        <v>9</v>
      </c>
      <c r="H95">
        <f t="shared" si="9"/>
        <v>588</v>
      </c>
      <c r="I95">
        <f t="shared" si="10"/>
        <v>242256</v>
      </c>
      <c r="J95">
        <f t="shared" si="11"/>
        <v>215607.84</v>
      </c>
      <c r="K95">
        <f t="shared" si="12"/>
        <v>21000</v>
      </c>
      <c r="L95">
        <v>2021</v>
      </c>
    </row>
    <row r="96" spans="1:12" x14ac:dyDescent="0.35">
      <c r="A96">
        <v>1</v>
      </c>
      <c r="B96">
        <v>26</v>
      </c>
      <c r="C96">
        <v>600</v>
      </c>
      <c r="D96">
        <v>1326</v>
      </c>
      <c r="E96">
        <v>219</v>
      </c>
      <c r="F96">
        <v>1545</v>
      </c>
      <c r="G96">
        <v>9</v>
      </c>
      <c r="H96">
        <f t="shared" si="9"/>
        <v>546</v>
      </c>
      <c r="I96">
        <f t="shared" si="10"/>
        <v>112476</v>
      </c>
      <c r="J96">
        <f t="shared" si="11"/>
        <v>100103.64</v>
      </c>
      <c r="K96">
        <f t="shared" si="12"/>
        <v>15600</v>
      </c>
      <c r="L96">
        <v>2021</v>
      </c>
    </row>
    <row r="97" spans="1:17" x14ac:dyDescent="0.35">
      <c r="A97">
        <v>1</v>
      </c>
      <c r="B97">
        <v>26</v>
      </c>
      <c r="C97">
        <v>0</v>
      </c>
      <c r="D97">
        <v>1326</v>
      </c>
      <c r="E97">
        <v>219</v>
      </c>
      <c r="F97">
        <v>1545</v>
      </c>
      <c r="G97">
        <v>10</v>
      </c>
      <c r="H97">
        <f t="shared" si="9"/>
        <v>546</v>
      </c>
      <c r="I97">
        <f t="shared" si="10"/>
        <v>112476</v>
      </c>
      <c r="J97">
        <f t="shared" si="11"/>
        <v>100103.64</v>
      </c>
      <c r="K97">
        <f t="shared" si="12"/>
        <v>0</v>
      </c>
      <c r="L97">
        <v>2021</v>
      </c>
    </row>
    <row r="98" spans="1:17" x14ac:dyDescent="0.35">
      <c r="A98">
        <v>1</v>
      </c>
      <c r="B98">
        <v>26</v>
      </c>
      <c r="C98">
        <v>600</v>
      </c>
      <c r="D98">
        <v>1326</v>
      </c>
      <c r="E98">
        <v>219</v>
      </c>
      <c r="F98">
        <v>1545</v>
      </c>
      <c r="G98">
        <v>10</v>
      </c>
      <c r="H98">
        <f t="shared" si="9"/>
        <v>546</v>
      </c>
      <c r="I98">
        <f t="shared" si="10"/>
        <v>112476</v>
      </c>
      <c r="J98">
        <f t="shared" si="11"/>
        <v>100103.64</v>
      </c>
      <c r="K98">
        <f t="shared" si="12"/>
        <v>15600</v>
      </c>
      <c r="L98">
        <v>2021</v>
      </c>
    </row>
    <row r="99" spans="1:17" x14ac:dyDescent="0.35">
      <c r="A99">
        <v>1</v>
      </c>
      <c r="B99">
        <v>23</v>
      </c>
      <c r="C99">
        <v>600</v>
      </c>
      <c r="D99">
        <v>1326</v>
      </c>
      <c r="E99">
        <v>219</v>
      </c>
      <c r="F99">
        <v>1545</v>
      </c>
      <c r="G99">
        <v>10</v>
      </c>
      <c r="H99">
        <f t="shared" si="9"/>
        <v>483</v>
      </c>
      <c r="I99">
        <f t="shared" si="10"/>
        <v>99498</v>
      </c>
      <c r="J99">
        <f t="shared" si="11"/>
        <v>88553.22</v>
      </c>
      <c r="K99">
        <f t="shared" si="12"/>
        <v>13800</v>
      </c>
      <c r="L99">
        <v>2021</v>
      </c>
    </row>
    <row r="100" spans="1:17" x14ac:dyDescent="0.35">
      <c r="A100">
        <v>1</v>
      </c>
      <c r="B100">
        <v>20</v>
      </c>
      <c r="C100">
        <v>600</v>
      </c>
      <c r="D100">
        <v>1326</v>
      </c>
      <c r="E100">
        <v>219</v>
      </c>
      <c r="F100">
        <v>1545</v>
      </c>
      <c r="G100">
        <v>11</v>
      </c>
      <c r="H100">
        <f t="shared" si="9"/>
        <v>420</v>
      </c>
      <c r="I100">
        <f t="shared" si="10"/>
        <v>86520</v>
      </c>
      <c r="J100">
        <f t="shared" si="11"/>
        <v>77002.8</v>
      </c>
      <c r="K100">
        <f t="shared" si="12"/>
        <v>12000</v>
      </c>
      <c r="L100">
        <v>2021</v>
      </c>
    </row>
    <row r="101" spans="1:17" x14ac:dyDescent="0.35">
      <c r="A101">
        <v>3</v>
      </c>
      <c r="B101">
        <v>15</v>
      </c>
      <c r="C101">
        <v>0</v>
      </c>
      <c r="D101">
        <v>5482</v>
      </c>
      <c r="E101">
        <v>575</v>
      </c>
      <c r="F101">
        <v>6057</v>
      </c>
      <c r="G101">
        <v>11</v>
      </c>
      <c r="H101">
        <f t="shared" si="9"/>
        <v>315</v>
      </c>
      <c r="I101">
        <f t="shared" si="10"/>
        <v>194670</v>
      </c>
      <c r="J101">
        <f t="shared" si="11"/>
        <v>173256.3</v>
      </c>
      <c r="K101">
        <f t="shared" si="12"/>
        <v>0</v>
      </c>
      <c r="L101">
        <v>2021</v>
      </c>
    </row>
    <row r="107" spans="1:17" x14ac:dyDescent="0.35">
      <c r="H107" t="s">
        <v>25</v>
      </c>
      <c r="I107">
        <v>2021</v>
      </c>
      <c r="J107">
        <v>2022</v>
      </c>
      <c r="K107">
        <v>2023</v>
      </c>
    </row>
    <row r="108" spans="1:17" x14ac:dyDescent="0.35">
      <c r="H108" t="s">
        <v>66</v>
      </c>
      <c r="I108">
        <f>SUM(I68:I101)</f>
        <v>6523608</v>
      </c>
      <c r="J108">
        <f>SUM(I2:I36)</f>
        <v>4978533</v>
      </c>
      <c r="K108">
        <f>SUM(I38:I66)</f>
        <v>4057788</v>
      </c>
      <c r="N108" t="s">
        <v>69</v>
      </c>
      <c r="O108">
        <f>I108*0.025</f>
        <v>163090.20000000001</v>
      </c>
      <c r="P108">
        <f>J108*0.025</f>
        <v>124463.32500000001</v>
      </c>
      <c r="Q108">
        <f>K108*0.025</f>
        <v>101444.70000000001</v>
      </c>
    </row>
    <row r="109" spans="1:17" x14ac:dyDescent="0.35">
      <c r="H109" t="s">
        <v>68</v>
      </c>
      <c r="I109">
        <f>I108*1.4583*0.6</f>
        <v>5708026.5278399996</v>
      </c>
      <c r="J109">
        <f>J108*1.4583*0.6</f>
        <v>4356116.8043399993</v>
      </c>
      <c r="K109">
        <f>K108*1.4583*0.6</f>
        <v>3550483.3442399995</v>
      </c>
      <c r="N109" t="s">
        <v>70</v>
      </c>
      <c r="O109">
        <f>I109*0.025</f>
        <v>142700.66319600001</v>
      </c>
      <c r="P109">
        <f>J109*0.025</f>
        <v>108902.92010849999</v>
      </c>
      <c r="Q109">
        <f>K109*0.025</f>
        <v>88762.083606</v>
      </c>
    </row>
    <row r="110" spans="1:17" x14ac:dyDescent="0.35">
      <c r="H110" t="s">
        <v>67</v>
      </c>
      <c r="I110">
        <f>I108*1.4583*0.7</f>
        <v>6659364.2824799996</v>
      </c>
      <c r="J110">
        <f>J108*1.4583*0.7</f>
        <v>5082136.2717299992</v>
      </c>
      <c r="K110">
        <f>K108*1.4583*0.7</f>
        <v>4142230.5682799993</v>
      </c>
      <c r="N110" t="s">
        <v>71</v>
      </c>
      <c r="O110">
        <f>I110*0.025</f>
        <v>166484.107062</v>
      </c>
      <c r="P110">
        <f>J110*0.025</f>
        <v>127053.40679324999</v>
      </c>
      <c r="Q110">
        <f>K110*0.025</f>
        <v>103555.76420699999</v>
      </c>
    </row>
    <row r="111" spans="1:17" x14ac:dyDescent="0.35">
      <c r="N111" t="s">
        <v>25</v>
      </c>
      <c r="O111">
        <v>2021</v>
      </c>
      <c r="P111">
        <v>2022</v>
      </c>
      <c r="Q111">
        <v>2023</v>
      </c>
    </row>
    <row r="115" spans="14:17" x14ac:dyDescent="0.35">
      <c r="N115" t="s">
        <v>25</v>
      </c>
      <c r="O115" t="s">
        <v>69</v>
      </c>
      <c r="P115" t="s">
        <v>72</v>
      </c>
      <c r="Q115" t="s">
        <v>73</v>
      </c>
    </row>
    <row r="116" spans="14:17" x14ac:dyDescent="0.35">
      <c r="N116">
        <v>2021</v>
      </c>
      <c r="O116">
        <v>163090</v>
      </c>
      <c r="P116">
        <v>142701</v>
      </c>
      <c r="Q116">
        <v>166484</v>
      </c>
    </row>
    <row r="117" spans="14:17" x14ac:dyDescent="0.35">
      <c r="N117">
        <v>2022</v>
      </c>
      <c r="O117">
        <v>124463</v>
      </c>
      <c r="P117">
        <v>108903</v>
      </c>
      <c r="Q117">
        <v>127053</v>
      </c>
    </row>
    <row r="118" spans="14:17" x14ac:dyDescent="0.35">
      <c r="N118">
        <v>2023</v>
      </c>
      <c r="O118">
        <v>101445</v>
      </c>
      <c r="P118">
        <v>88762</v>
      </c>
      <c r="Q118">
        <v>103556</v>
      </c>
    </row>
  </sheetData>
  <pageMargins left="0.7" right="0.7" top="0.75" bottom="0.75" header="0.511811023622047" footer="0.511811023622047"/>
  <pageSetup orientation="portrait" horizontalDpi="300" verticalDpi="300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303C5D-0F5F-4EF7-9DBB-A0AD41143D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2022</vt:lpstr>
      <vt:lpstr>2023</vt:lpstr>
      <vt:lpstr>Sheet1</vt:lpstr>
      <vt:lpstr>2021</vt:lpstr>
      <vt:lpstr>Sheet6</vt:lpstr>
      <vt:lpstr>Sheet7</vt:lpstr>
      <vt:lpstr>Sheet8</vt:lpstr>
      <vt:lpstr>Sheet9</vt:lpstr>
      <vt:lpstr>Sheet12</vt:lpstr>
      <vt:lpstr>Sheet13</vt:lpstr>
      <vt:lpstr>Sheet11</vt:lpstr>
      <vt:lpstr>Sheet2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Kent Roller</dc:creator>
  <dc:description/>
  <cp:lastModifiedBy>Kent Roller</cp:lastModifiedBy>
  <cp:revision>2</cp:revision>
  <dcterms:created xsi:type="dcterms:W3CDTF">2023-09-19T03:52:02Z</dcterms:created>
  <dcterms:modified xsi:type="dcterms:W3CDTF">2023-12-09T03:10:40Z</dcterms:modified>
  <dc:language>en-US</dc:language>
</cp:coreProperties>
</file>