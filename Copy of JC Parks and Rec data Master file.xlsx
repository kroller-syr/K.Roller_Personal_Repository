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7c41d8bb86f71b/Documents/JC Parks and Rec stuff/"/>
    </mc:Choice>
  </mc:AlternateContent>
  <xr:revisionPtr revIDLastSave="2225" documentId="8_{AA755246-F1E4-4126-811A-D6182A3A17A6}" xr6:coauthVersionLast="47" xr6:coauthVersionMax="47" xr10:uidLastSave="{00E57563-DE25-4223-B40A-6B2C3FE0B427}"/>
  <bookViews>
    <workbookView xWindow="3100" yWindow="1730" windowWidth="35750" windowHeight="19480" tabRatio="500" activeTab="3" xr2:uid="{00000000-000D-0000-FFFF-FFFF00000000}"/>
  </bookViews>
  <sheets>
    <sheet name="Sheet6" sheetId="6" r:id="rId1"/>
    <sheet name="Sheet7" sheetId="7" r:id="rId2"/>
    <sheet name="Sheet8" sheetId="8" r:id="rId3"/>
    <sheet name="Sheet9" sheetId="9" r:id="rId4"/>
    <sheet name="Sheet10" sheetId="10" r:id="rId5"/>
    <sheet name="Sheet12" sheetId="12" r:id="rId6"/>
    <sheet name="Sheet3" sheetId="14" r:id="rId7"/>
    <sheet name="Sheet1" sheetId="1" r:id="rId8"/>
  </sheets>
  <calcPr calcId="191029" iterateDelta="1E-4"/>
  <pivotCaches>
    <pivotCache cacheId="0" r:id="rId9"/>
    <pivotCache cacheId="1" r:id="rId10"/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2" i="1" l="1"/>
  <c r="Z2" i="1"/>
  <c r="Y2" i="1"/>
  <c r="N3" i="1"/>
  <c r="S4" i="1"/>
  <c r="S2" i="1"/>
  <c r="R4" i="1"/>
  <c r="R2" i="1"/>
  <c r="Q4" i="1"/>
  <c r="Q2" i="1"/>
  <c r="P4" i="1"/>
  <c r="P2" i="1"/>
  <c r="N4" i="1"/>
  <c r="N2" i="1"/>
  <c r="K99" i="1"/>
  <c r="H99" i="1"/>
  <c r="I99" i="1" s="1"/>
  <c r="J99" i="1" s="1"/>
  <c r="K98" i="1"/>
  <c r="H98" i="1"/>
  <c r="I98" i="1" s="1"/>
  <c r="J98" i="1" s="1"/>
  <c r="K97" i="1"/>
  <c r="H97" i="1"/>
  <c r="I97" i="1" s="1"/>
  <c r="J97" i="1" s="1"/>
  <c r="K96" i="1"/>
  <c r="H96" i="1"/>
  <c r="I96" i="1"/>
  <c r="J96" i="1" s="1"/>
  <c r="K95" i="1"/>
  <c r="H95" i="1"/>
  <c r="I95" i="1" s="1"/>
  <c r="J95" i="1" s="1"/>
  <c r="K94" i="1"/>
  <c r="H94" i="1"/>
  <c r="I94" i="1" s="1"/>
  <c r="J94" i="1" s="1"/>
  <c r="K93" i="1"/>
  <c r="H93" i="1"/>
  <c r="I93" i="1" s="1"/>
  <c r="J93" i="1" s="1"/>
  <c r="K92" i="1"/>
  <c r="H92" i="1"/>
  <c r="I92" i="1" s="1"/>
  <c r="J92" i="1" s="1"/>
  <c r="K91" i="1"/>
  <c r="H91" i="1"/>
  <c r="I91" i="1" s="1"/>
  <c r="J91" i="1" s="1"/>
  <c r="K90" i="1"/>
  <c r="H90" i="1"/>
  <c r="I90" i="1" s="1"/>
  <c r="J90" i="1" s="1"/>
  <c r="K89" i="1"/>
  <c r="H89" i="1"/>
  <c r="I89" i="1" s="1"/>
  <c r="J89" i="1" s="1"/>
  <c r="K88" i="1"/>
  <c r="H88" i="1"/>
  <c r="I88" i="1" s="1"/>
  <c r="J88" i="1" s="1"/>
  <c r="K87" i="1"/>
  <c r="H87" i="1"/>
  <c r="I87" i="1" s="1"/>
  <c r="J87" i="1" s="1"/>
  <c r="K86" i="1"/>
  <c r="H86" i="1"/>
  <c r="I86" i="1" s="1"/>
  <c r="J86" i="1" s="1"/>
  <c r="K85" i="1"/>
  <c r="H85" i="1"/>
  <c r="I85" i="1" s="1"/>
  <c r="J85" i="1" s="1"/>
  <c r="K84" i="1"/>
  <c r="H84" i="1"/>
  <c r="I84" i="1" s="1"/>
  <c r="J84" i="1" s="1"/>
  <c r="K83" i="1"/>
  <c r="H83" i="1"/>
  <c r="I83" i="1" s="1"/>
  <c r="J83" i="1" s="1"/>
  <c r="K82" i="1"/>
  <c r="H82" i="1"/>
  <c r="I82" i="1" s="1"/>
  <c r="J82" i="1" s="1"/>
  <c r="K81" i="1"/>
  <c r="H81" i="1"/>
  <c r="I81" i="1" s="1"/>
  <c r="J81" i="1" s="1"/>
  <c r="K80" i="1"/>
  <c r="H80" i="1"/>
  <c r="I80" i="1" s="1"/>
  <c r="J80" i="1" s="1"/>
  <c r="K79" i="1"/>
  <c r="H79" i="1"/>
  <c r="I79" i="1" s="1"/>
  <c r="J79" i="1" s="1"/>
  <c r="K78" i="1"/>
  <c r="H78" i="1"/>
  <c r="I78" i="1" s="1"/>
  <c r="J78" i="1" s="1"/>
  <c r="K77" i="1"/>
  <c r="H77" i="1"/>
  <c r="I77" i="1" s="1"/>
  <c r="J77" i="1" s="1"/>
  <c r="K76" i="1"/>
  <c r="H76" i="1"/>
  <c r="I76" i="1" s="1"/>
  <c r="J76" i="1" s="1"/>
  <c r="K75" i="1"/>
  <c r="H75" i="1"/>
  <c r="I75" i="1" s="1"/>
  <c r="J75" i="1" s="1"/>
  <c r="K74" i="1"/>
  <c r="H74" i="1"/>
  <c r="I74" i="1" s="1"/>
  <c r="J74" i="1" s="1"/>
  <c r="K73" i="1"/>
  <c r="H73" i="1"/>
  <c r="I73" i="1"/>
  <c r="J73" i="1" s="1"/>
  <c r="K72" i="1"/>
  <c r="H72" i="1"/>
  <c r="I72" i="1" s="1"/>
  <c r="J72" i="1" s="1"/>
  <c r="K71" i="1"/>
  <c r="H71" i="1"/>
  <c r="I71" i="1"/>
  <c r="J71" i="1" s="1"/>
  <c r="K70" i="1"/>
  <c r="H70" i="1"/>
  <c r="I70" i="1" s="1"/>
  <c r="J70" i="1" s="1"/>
  <c r="K69" i="1"/>
  <c r="H69" i="1"/>
  <c r="I69" i="1" s="1"/>
  <c r="J69" i="1" s="1"/>
  <c r="K68" i="1"/>
  <c r="H68" i="1"/>
  <c r="I68" i="1" s="1"/>
  <c r="J68" i="1" s="1"/>
  <c r="K67" i="1"/>
  <c r="H67" i="1"/>
  <c r="I67" i="1" s="1"/>
  <c r="J67" i="1" s="1"/>
  <c r="K66" i="1"/>
  <c r="H66" i="1"/>
  <c r="I66" i="1" s="1"/>
  <c r="J66" i="1" s="1"/>
  <c r="K65" i="1"/>
  <c r="H65" i="1"/>
  <c r="I65" i="1" s="1"/>
  <c r="J65" i="1" s="1"/>
  <c r="K64" i="1"/>
  <c r="H64" i="1"/>
  <c r="I64" i="1"/>
  <c r="J64" i="1"/>
  <c r="K63" i="1"/>
  <c r="H63" i="1"/>
  <c r="I63" i="1" s="1"/>
  <c r="J63" i="1" s="1"/>
  <c r="K62" i="1"/>
  <c r="H62" i="1"/>
  <c r="I62" i="1" s="1"/>
  <c r="J62" i="1" s="1"/>
  <c r="K61" i="1"/>
  <c r="H61" i="1"/>
  <c r="I61" i="1" s="1"/>
  <c r="J61" i="1" s="1"/>
  <c r="K60" i="1"/>
  <c r="H60" i="1"/>
  <c r="I60" i="1" s="1"/>
  <c r="J60" i="1" s="1"/>
  <c r="K59" i="1"/>
  <c r="H59" i="1"/>
  <c r="I59" i="1" s="1"/>
  <c r="J59" i="1" s="1"/>
  <c r="K58" i="1"/>
  <c r="H58" i="1"/>
  <c r="I58" i="1" s="1"/>
  <c r="J58" i="1" s="1"/>
  <c r="E58" i="1"/>
  <c r="D58" i="1"/>
  <c r="K57" i="1"/>
  <c r="H57" i="1"/>
  <c r="I57" i="1" s="1"/>
  <c r="J57" i="1" s="1"/>
  <c r="E57" i="1"/>
  <c r="D57" i="1"/>
  <c r="K56" i="1"/>
  <c r="H56" i="1"/>
  <c r="I56" i="1" s="1"/>
  <c r="J56" i="1" s="1"/>
  <c r="K55" i="1"/>
  <c r="H55" i="1"/>
  <c r="I55" i="1" s="1"/>
  <c r="J55" i="1" s="1"/>
  <c r="K54" i="1"/>
  <c r="H54" i="1"/>
  <c r="I54" i="1" s="1"/>
  <c r="J54" i="1" s="1"/>
  <c r="K53" i="1"/>
  <c r="H53" i="1"/>
  <c r="I53" i="1" s="1"/>
  <c r="J53" i="1" s="1"/>
  <c r="K52" i="1"/>
  <c r="H52" i="1"/>
  <c r="I52" i="1" s="1"/>
  <c r="J52" i="1" s="1"/>
  <c r="K51" i="1"/>
  <c r="H51" i="1"/>
  <c r="I51" i="1" s="1"/>
  <c r="J51" i="1" s="1"/>
  <c r="K50" i="1"/>
  <c r="H50" i="1"/>
  <c r="I50" i="1" s="1"/>
  <c r="J50" i="1" s="1"/>
  <c r="K49" i="1"/>
  <c r="H49" i="1"/>
  <c r="I49" i="1" s="1"/>
  <c r="J49" i="1" s="1"/>
  <c r="K48" i="1"/>
  <c r="H48" i="1"/>
  <c r="I48" i="1" s="1"/>
  <c r="J48" i="1" s="1"/>
  <c r="K47" i="1"/>
  <c r="H47" i="1"/>
  <c r="I47" i="1" s="1"/>
  <c r="J47" i="1" s="1"/>
  <c r="E47" i="1"/>
  <c r="D47" i="1"/>
  <c r="K46" i="1"/>
  <c r="H46" i="1"/>
  <c r="I46" i="1" s="1"/>
  <c r="J46" i="1" s="1"/>
  <c r="K45" i="1"/>
  <c r="H45" i="1"/>
  <c r="I45" i="1" s="1"/>
  <c r="J45" i="1" s="1"/>
  <c r="K44" i="1"/>
  <c r="H44" i="1"/>
  <c r="I44" i="1" s="1"/>
  <c r="J44" i="1" s="1"/>
  <c r="K43" i="1"/>
  <c r="H43" i="1"/>
  <c r="I43" i="1" s="1"/>
  <c r="J43" i="1" s="1"/>
  <c r="K42" i="1"/>
  <c r="H42" i="1"/>
  <c r="I42" i="1" s="1"/>
  <c r="J42" i="1" s="1"/>
  <c r="E42" i="1"/>
  <c r="D42" i="1"/>
  <c r="K41" i="1"/>
  <c r="H41" i="1"/>
  <c r="I41" i="1" s="1"/>
  <c r="J41" i="1" s="1"/>
  <c r="E41" i="1"/>
  <c r="D41" i="1"/>
  <c r="K40" i="1"/>
  <c r="H40" i="1"/>
  <c r="I40" i="1" s="1"/>
  <c r="J40" i="1" s="1"/>
  <c r="E40" i="1"/>
  <c r="D40" i="1"/>
  <c r="K39" i="1"/>
  <c r="H39" i="1"/>
  <c r="I39" i="1" s="1"/>
  <c r="J39" i="1" s="1"/>
  <c r="K38" i="1"/>
  <c r="H38" i="1"/>
  <c r="I38" i="1" s="1"/>
  <c r="J38" i="1" s="1"/>
  <c r="K37" i="1"/>
  <c r="H37" i="1"/>
  <c r="I37" i="1" s="1"/>
  <c r="J37" i="1" s="1"/>
  <c r="K36" i="1"/>
  <c r="H36" i="1"/>
  <c r="I36" i="1" s="1"/>
  <c r="J36" i="1" s="1"/>
  <c r="K35" i="1"/>
  <c r="H35" i="1"/>
  <c r="I35" i="1" s="1"/>
  <c r="J35" i="1" s="1"/>
  <c r="K34" i="1"/>
  <c r="H34" i="1"/>
  <c r="I34" i="1" s="1"/>
  <c r="J34" i="1" s="1"/>
  <c r="K33" i="1"/>
  <c r="H33" i="1"/>
  <c r="I33" i="1" s="1"/>
  <c r="J33" i="1" s="1"/>
  <c r="K32" i="1"/>
  <c r="H32" i="1"/>
  <c r="I32" i="1" s="1"/>
  <c r="J32" i="1" s="1"/>
  <c r="K30" i="1"/>
  <c r="H30" i="1"/>
  <c r="I30" i="1" s="1"/>
  <c r="J30" i="1" s="1"/>
  <c r="E30" i="1"/>
  <c r="D30" i="1"/>
  <c r="K29" i="1"/>
  <c r="H29" i="1"/>
  <c r="I29" i="1" s="1"/>
  <c r="J29" i="1" s="1"/>
  <c r="E29" i="1"/>
  <c r="D29" i="1"/>
  <c r="K27" i="1"/>
  <c r="H27" i="1"/>
  <c r="I27" i="1" s="1"/>
  <c r="J27" i="1" s="1"/>
  <c r="E27" i="1"/>
  <c r="D27" i="1"/>
  <c r="K26" i="1"/>
  <c r="H26" i="1"/>
  <c r="I26" i="1" s="1"/>
  <c r="J26" i="1" s="1"/>
  <c r="E26" i="1"/>
  <c r="D26" i="1"/>
  <c r="K25" i="1"/>
  <c r="H25" i="1"/>
  <c r="I25" i="1" s="1"/>
  <c r="J25" i="1" s="1"/>
  <c r="E25" i="1"/>
  <c r="D25" i="1"/>
  <c r="K24" i="1"/>
  <c r="H24" i="1"/>
  <c r="I24" i="1" s="1"/>
  <c r="J24" i="1" s="1"/>
  <c r="E24" i="1"/>
  <c r="D24" i="1"/>
  <c r="K23" i="1"/>
  <c r="H23" i="1"/>
  <c r="I23" i="1" s="1"/>
  <c r="J23" i="1" s="1"/>
  <c r="E23" i="1"/>
  <c r="D23" i="1"/>
  <c r="K22" i="1"/>
  <c r="H22" i="1"/>
  <c r="I22" i="1" s="1"/>
  <c r="J22" i="1" s="1"/>
  <c r="F22" i="1"/>
  <c r="K21" i="1"/>
  <c r="H21" i="1"/>
  <c r="I21" i="1" s="1"/>
  <c r="J21" i="1" s="1"/>
  <c r="E21" i="1"/>
  <c r="D21" i="1"/>
  <c r="K20" i="1"/>
  <c r="H20" i="1"/>
  <c r="I20" i="1" s="1"/>
  <c r="J20" i="1" s="1"/>
  <c r="E20" i="1"/>
  <c r="D20" i="1"/>
  <c r="J19" i="1"/>
  <c r="K18" i="1"/>
  <c r="H18" i="1"/>
  <c r="I18" i="1" s="1"/>
  <c r="J18" i="1" s="1"/>
  <c r="E18" i="1"/>
  <c r="D18" i="1"/>
  <c r="K17" i="1"/>
  <c r="H17" i="1"/>
  <c r="I17" i="1" s="1"/>
  <c r="J17" i="1" s="1"/>
  <c r="F17" i="1"/>
  <c r="F20" i="1" s="1"/>
  <c r="K16" i="1"/>
  <c r="H16" i="1"/>
  <c r="I16" i="1" s="1"/>
  <c r="J16" i="1" s="1"/>
  <c r="E16" i="1"/>
  <c r="D16" i="1"/>
  <c r="K15" i="1"/>
  <c r="H15" i="1"/>
  <c r="I15" i="1" s="1"/>
  <c r="J15" i="1" s="1"/>
  <c r="E15" i="1"/>
  <c r="D15" i="1"/>
  <c r="K13" i="1"/>
  <c r="H13" i="1"/>
  <c r="I13" i="1" s="1"/>
  <c r="J13" i="1" s="1"/>
  <c r="E13" i="1"/>
  <c r="D13" i="1"/>
  <c r="K12" i="1"/>
  <c r="H12" i="1"/>
  <c r="I12" i="1" s="1"/>
  <c r="J12" i="1" s="1"/>
  <c r="K10" i="1"/>
  <c r="H10" i="1"/>
  <c r="I10" i="1" s="1"/>
  <c r="J10" i="1" s="1"/>
  <c r="K9" i="1"/>
  <c r="H9" i="1"/>
  <c r="I9" i="1" s="1"/>
  <c r="J9" i="1" s="1"/>
  <c r="K8" i="1"/>
  <c r="H8" i="1"/>
  <c r="I8" i="1" s="1"/>
  <c r="J8" i="1" s="1"/>
  <c r="J7" i="1"/>
  <c r="K6" i="1"/>
  <c r="H6" i="1"/>
  <c r="I6" i="1" s="1"/>
  <c r="J6" i="1" s="1"/>
  <c r="K5" i="1"/>
  <c r="H5" i="1"/>
  <c r="I5" i="1" s="1"/>
  <c r="J5" i="1" s="1"/>
  <c r="F5" i="1"/>
  <c r="F30" i="1" s="1"/>
  <c r="K2" i="1"/>
  <c r="H2" i="1"/>
  <c r="I2" i="1" s="1"/>
  <c r="J2" i="1" s="1"/>
  <c r="F2" i="1"/>
  <c r="F57" i="1" s="1"/>
  <c r="P3" i="1" l="1"/>
  <c r="R3" i="1" s="1"/>
  <c r="Q3" i="1"/>
  <c r="S3" i="1" s="1"/>
  <c r="F13" i="1"/>
  <c r="F42" i="1"/>
  <c r="F29" i="1"/>
  <c r="F24" i="1"/>
  <c r="F58" i="1"/>
  <c r="F23" i="1"/>
  <c r="F16" i="1"/>
  <c r="F21" i="1"/>
  <c r="F27" i="1"/>
  <c r="F41" i="1"/>
  <c r="F18" i="1"/>
  <c r="F15" i="1"/>
  <c r="F25" i="1"/>
  <c r="F47" i="1"/>
  <c r="F26" i="1"/>
  <c r="F40" i="1"/>
</calcChain>
</file>

<file path=xl/sharedStrings.xml><?xml version="1.0" encoding="utf-8"?>
<sst xmlns="http://schemas.openxmlformats.org/spreadsheetml/2006/main" count="205" uniqueCount="54">
  <si>
    <t>days</t>
  </si>
  <si>
    <t>teams</t>
  </si>
  <si>
    <t>fee</t>
  </si>
  <si>
    <t>labor</t>
  </si>
  <si>
    <t>material</t>
  </si>
  <si>
    <t>combined</t>
  </si>
  <si>
    <t>month</t>
  </si>
  <si>
    <t>players</t>
  </si>
  <si>
    <t>spending</t>
  </si>
  <si>
    <t>nonlocal</t>
  </si>
  <si>
    <t>cost per team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</si>
  <si>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</si>
  <si>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</si>
  <si>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</si>
  <si>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</si>
  <si>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</si>
  <si>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</si>
  <si>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</si>
  <si>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</si>
  <si>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</si>
  <si>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November </t>
  </si>
  <si>
    <t>year</t>
  </si>
  <si>
    <t>Sum of teams</t>
  </si>
  <si>
    <t>Row Labels</t>
  </si>
  <si>
    <t>Grand Total</t>
  </si>
  <si>
    <t>Sum of spending</t>
  </si>
  <si>
    <t>Column Labels</t>
  </si>
  <si>
    <t>Total Maintenance</t>
  </si>
  <si>
    <t>Maintenance</t>
  </si>
  <si>
    <t>Total Fees</t>
  </si>
  <si>
    <t>Fees</t>
  </si>
  <si>
    <t>Totals</t>
  </si>
  <si>
    <t>Year2</t>
  </si>
  <si>
    <t>Adjust Lower</t>
  </si>
  <si>
    <t>Adjust Upper</t>
  </si>
  <si>
    <t>Sum of Adjust Lower</t>
  </si>
  <si>
    <t>Total Sum of Adjust Lower</t>
  </si>
  <si>
    <t>Total Sum of Adjust Upper</t>
  </si>
  <si>
    <t>Sum of Adjust Upper</t>
  </si>
  <si>
    <t>Tax Lower</t>
  </si>
  <si>
    <t>Tax Upper</t>
  </si>
  <si>
    <t>Sum of Tax Lower</t>
  </si>
  <si>
    <t>Total Sum of Tax Lower</t>
  </si>
  <si>
    <t>Total Sum of Tax Upper</t>
  </si>
  <si>
    <t>Sum of Tax Upper</t>
  </si>
  <si>
    <t>Note: Cells 2-36 are 2022 data, 37-61 2023, 62-95 2021, 96-99 Oct23</t>
  </si>
  <si>
    <t>Sum of Totals</t>
  </si>
  <si>
    <t>Total Sum of Totals</t>
  </si>
  <si>
    <t>box 2021</t>
  </si>
  <si>
    <t>box 2022</t>
  </si>
  <si>
    <t>box 2023</t>
  </si>
  <si>
    <t>tax 2021</t>
  </si>
  <si>
    <t>tax 2022</t>
  </si>
  <si>
    <t>tax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</si>
</sst>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A57F3"/>
      <color rgb="FFFA54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5.xml"/><Relationship Id="rId1" Type="http://schemas.microsoft.com/office/2011/relationships/chartStyle" Target="style5.xml"/><Relationship Id="rId5" Type="http://schemas.openxmlformats.org/officeDocument/2006/relationships/image" Target="../media/image3.jpeg"/><Relationship Id="rId4" Type="http://schemas.openxmlformats.org/officeDocument/2006/relationships/image" Target="../media/image2.jpeg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file.xlsx]Sheet6!PivotTable5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Spending Totals By Month</a:t>
            </a:r>
          </a:p>
        </c:rich>
      </c:tx>
      <c:layout>
        <c:manualLayout>
          <c:xMode val="edge"/>
          <c:yMode val="edge"/>
          <c:x val="0.25965339612922217"/>
          <c:y val="6.025013190067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2225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34925"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8100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Sheet6!$A$5:$A$14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0">
                  <c:v>540750</c:v>
                </c:pt>
                <c:pt idx="1">
                  <c:v>380688</c:v>
                </c:pt>
                <c:pt idx="2">
                  <c:v>596988</c:v>
                </c:pt>
                <c:pt idx="3">
                  <c:v>484512</c:v>
                </c:pt>
                <c:pt idx="4">
                  <c:v>2734032</c:v>
                </c:pt>
                <c:pt idx="5">
                  <c:v>497490</c:v>
                </c:pt>
                <c:pt idx="6">
                  <c:v>761376</c:v>
                </c:pt>
                <c:pt idx="7">
                  <c:v>324450</c:v>
                </c:pt>
                <c:pt idx="8">
                  <c:v>86520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8-45CC-9784-0E7C6E671107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2225">
              <a:solidFill>
                <a:schemeClr val="accent2"/>
              </a:solidFill>
            </a:ln>
            <a:effectLst/>
          </c:spPr>
          <c:invertIfNegative val="0"/>
          <c:cat>
            <c:strRef>
              <c:f>Sheet6!$A$5:$A$14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0">
                  <c:v>337428</c:v>
                </c:pt>
                <c:pt idx="1">
                  <c:v>912786</c:v>
                </c:pt>
                <c:pt idx="2">
                  <c:v>311472</c:v>
                </c:pt>
                <c:pt idx="3">
                  <c:v>869526</c:v>
                </c:pt>
                <c:pt idx="4">
                  <c:v>1306452</c:v>
                </c:pt>
                <c:pt idx="5">
                  <c:v>428274</c:v>
                </c:pt>
                <c:pt idx="6">
                  <c:v>379995</c:v>
                </c:pt>
                <c:pt idx="7">
                  <c:v>285516</c:v>
                </c:pt>
                <c:pt idx="8">
                  <c:v>147084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8-45CC-9784-0E7C6E671107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34925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Sheet6!$A$5:$A$14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0">
                  <c:v>337428</c:v>
                </c:pt>
                <c:pt idx="1">
                  <c:v>813288</c:v>
                </c:pt>
                <c:pt idx="2">
                  <c:v>488838</c:v>
                </c:pt>
                <c:pt idx="3">
                  <c:v>441252</c:v>
                </c:pt>
                <c:pt idx="4">
                  <c:v>527772</c:v>
                </c:pt>
                <c:pt idx="5">
                  <c:v>475860</c:v>
                </c:pt>
                <c:pt idx="6">
                  <c:v>397992</c:v>
                </c:pt>
                <c:pt idx="7">
                  <c:v>497490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8-45CC-9784-0E7C6E671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6297488"/>
        <c:axId val="846012432"/>
      </c:barChart>
      <c:catAx>
        <c:axId val="7562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Month</a:t>
                </a:r>
              </a:p>
            </c:rich>
          </c:tx>
          <c:layout>
            <c:manualLayout>
              <c:xMode val="edge"/>
              <c:yMode val="edge"/>
              <c:x val="0.44091740868840001"/>
              <c:y val="0.87540865286851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12432"/>
        <c:crosses val="autoZero"/>
        <c:auto val="1"/>
        <c:lblAlgn val="ctr"/>
        <c:lblOffset val="100"/>
        <c:noMultiLvlLbl val="0"/>
      </c:catAx>
      <c:valAx>
        <c:axId val="846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Spending in Dollars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9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6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file.xlsx]Sheet6!PivotTable5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400" b="1"/>
              <a:t>Visitor Spending</a:t>
            </a:r>
            <a:r>
              <a:rPr lang="en-US" sz="2400" b="1" baseline="0"/>
              <a:t> Totaled by Month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0">
                  <c:v>540750</c:v>
                </c:pt>
                <c:pt idx="1">
                  <c:v>380688</c:v>
                </c:pt>
                <c:pt idx="2">
                  <c:v>596988</c:v>
                </c:pt>
                <c:pt idx="3">
                  <c:v>484512</c:v>
                </c:pt>
                <c:pt idx="4">
                  <c:v>2734032</c:v>
                </c:pt>
                <c:pt idx="5">
                  <c:v>497490</c:v>
                </c:pt>
                <c:pt idx="6">
                  <c:v>761376</c:v>
                </c:pt>
                <c:pt idx="7">
                  <c:v>324450</c:v>
                </c:pt>
                <c:pt idx="8">
                  <c:v>86520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AE-4A1F-8AC6-56247734CEFC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0">
                  <c:v>337428</c:v>
                </c:pt>
                <c:pt idx="1">
                  <c:v>912786</c:v>
                </c:pt>
                <c:pt idx="2">
                  <c:v>311472</c:v>
                </c:pt>
                <c:pt idx="3">
                  <c:v>869526</c:v>
                </c:pt>
                <c:pt idx="4">
                  <c:v>1306452</c:v>
                </c:pt>
                <c:pt idx="5">
                  <c:v>428274</c:v>
                </c:pt>
                <c:pt idx="6">
                  <c:v>379995</c:v>
                </c:pt>
                <c:pt idx="7">
                  <c:v>285516</c:v>
                </c:pt>
                <c:pt idx="8">
                  <c:v>147084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E-4A1F-8AC6-56247734CEFC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0">
                  <c:v>337428</c:v>
                </c:pt>
                <c:pt idx="1">
                  <c:v>813288</c:v>
                </c:pt>
                <c:pt idx="2">
                  <c:v>488838</c:v>
                </c:pt>
                <c:pt idx="3">
                  <c:v>441252</c:v>
                </c:pt>
                <c:pt idx="4">
                  <c:v>527772</c:v>
                </c:pt>
                <c:pt idx="5">
                  <c:v>475860</c:v>
                </c:pt>
                <c:pt idx="6">
                  <c:v>397992</c:v>
                </c:pt>
                <c:pt idx="7">
                  <c:v>497490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AE-4A1F-8AC6-56247734C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759840"/>
        <c:axId val="2063035664"/>
      </c:lineChart>
      <c:catAx>
        <c:axId val="19077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35664"/>
        <c:crosses val="autoZero"/>
        <c:auto val="1"/>
        <c:lblAlgn val="ctr"/>
        <c:lblOffset val="100"/>
        <c:noMultiLvlLbl val="0"/>
      </c:catAx>
      <c:valAx>
        <c:axId val="20630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Spending in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file.xlsx]Sheet7!PivotTable6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Team Count</a:t>
            </a:r>
            <a:r>
              <a:rPr lang="en-US" sz="2800" baseline="0"/>
              <a:t> by Month</a:t>
            </a:r>
            <a:endParaRPr lang="en-US" sz="2800"/>
          </a:p>
        </c:rich>
      </c:tx>
      <c:layout>
        <c:manualLayout>
          <c:xMode val="edge"/>
          <c:yMode val="edge"/>
          <c:x val="0.27499386503067486"/>
          <c:y val="4.7027315967797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25400"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50000"/>
            </a:schemeClr>
          </a:solidFill>
          <a:ln w="22225"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2225">
            <a:solidFill>
              <a:schemeClr val="accent6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 w="22225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169-4637-B729-A7C32F62DF12}"/>
              </c:ext>
            </c:extLst>
          </c:dPt>
          <c:cat>
            <c:strRef>
              <c:f>Sheet7!$A$5:$A$14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Sheet7!$B$5:$B$14</c:f>
              <c:numCache>
                <c:formatCode>General</c:formatCode>
                <c:ptCount val="9"/>
                <c:pt idx="0">
                  <c:v>81</c:v>
                </c:pt>
                <c:pt idx="1">
                  <c:v>88</c:v>
                </c:pt>
                <c:pt idx="2">
                  <c:v>96</c:v>
                </c:pt>
                <c:pt idx="3">
                  <c:v>65</c:v>
                </c:pt>
                <c:pt idx="4">
                  <c:v>182</c:v>
                </c:pt>
                <c:pt idx="5">
                  <c:v>94</c:v>
                </c:pt>
                <c:pt idx="6">
                  <c:v>110</c:v>
                </c:pt>
                <c:pt idx="7">
                  <c:v>75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9-4637-B729-A7C32F62DF12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254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Sheet7!$A$5:$A$14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Sheet7!$C$5:$C$14</c:f>
              <c:numCache>
                <c:formatCode>General</c:formatCode>
                <c:ptCount val="9"/>
                <c:pt idx="0">
                  <c:v>49</c:v>
                </c:pt>
                <c:pt idx="1">
                  <c:v>117</c:v>
                </c:pt>
                <c:pt idx="2">
                  <c:v>50</c:v>
                </c:pt>
                <c:pt idx="3">
                  <c:v>103</c:v>
                </c:pt>
                <c:pt idx="4">
                  <c:v>95</c:v>
                </c:pt>
                <c:pt idx="5">
                  <c:v>83</c:v>
                </c:pt>
                <c:pt idx="6">
                  <c:v>76</c:v>
                </c:pt>
                <c:pt idx="7">
                  <c:v>66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9-4637-B729-A7C32F62DF12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22225"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strRef>
              <c:f>Sheet7!$A$5:$A$14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Sheet7!$D$5:$D$14</c:f>
              <c:numCache>
                <c:formatCode>General</c:formatCode>
                <c:ptCount val="9"/>
                <c:pt idx="0">
                  <c:v>51</c:v>
                </c:pt>
                <c:pt idx="1">
                  <c:v>105</c:v>
                </c:pt>
                <c:pt idx="2">
                  <c:v>92</c:v>
                </c:pt>
                <c:pt idx="3">
                  <c:v>63</c:v>
                </c:pt>
                <c:pt idx="4">
                  <c:v>61</c:v>
                </c:pt>
                <c:pt idx="5">
                  <c:v>87</c:v>
                </c:pt>
                <c:pt idx="6">
                  <c:v>46</c:v>
                </c:pt>
                <c:pt idx="7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9-4637-B729-A7C32F62D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6295568"/>
        <c:axId val="628212224"/>
      </c:barChart>
      <c:catAx>
        <c:axId val="75629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212224"/>
        <c:crosses val="autoZero"/>
        <c:auto val="1"/>
        <c:lblAlgn val="ctr"/>
        <c:lblOffset val="100"/>
        <c:noMultiLvlLbl val="0"/>
      </c:catAx>
      <c:valAx>
        <c:axId val="6282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Team</a:t>
                </a:r>
                <a:r>
                  <a:rPr lang="en-US" sz="1600" baseline="0"/>
                  <a:t> Count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3087934560327199E-2"/>
              <c:y val="0.29614134581773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9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file.xlsx]Sheet7!PivotTable6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Team</a:t>
            </a:r>
            <a:r>
              <a:rPr lang="en-US" sz="2400" b="1" baseline="0"/>
              <a:t> Count by Month </a:t>
            </a:r>
            <a:endParaRPr lang="en-US" sz="2400" b="1"/>
          </a:p>
        </c:rich>
      </c:tx>
      <c:layout>
        <c:manualLayout>
          <c:xMode val="edge"/>
          <c:yMode val="edge"/>
          <c:x val="0.31644134475722274"/>
          <c:y val="4.7369584240923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Sheet7!$B$5:$B$14</c:f>
              <c:numCache>
                <c:formatCode>General</c:formatCode>
                <c:ptCount val="9"/>
                <c:pt idx="0">
                  <c:v>81</c:v>
                </c:pt>
                <c:pt idx="1">
                  <c:v>88</c:v>
                </c:pt>
                <c:pt idx="2">
                  <c:v>96</c:v>
                </c:pt>
                <c:pt idx="3">
                  <c:v>65</c:v>
                </c:pt>
                <c:pt idx="4">
                  <c:v>182</c:v>
                </c:pt>
                <c:pt idx="5">
                  <c:v>94</c:v>
                </c:pt>
                <c:pt idx="6">
                  <c:v>110</c:v>
                </c:pt>
                <c:pt idx="7">
                  <c:v>75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0-4588-B917-40ACB603D30D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Sheet7!$C$5:$C$14</c:f>
              <c:numCache>
                <c:formatCode>General</c:formatCode>
                <c:ptCount val="9"/>
                <c:pt idx="0">
                  <c:v>49</c:v>
                </c:pt>
                <c:pt idx="1">
                  <c:v>117</c:v>
                </c:pt>
                <c:pt idx="2">
                  <c:v>50</c:v>
                </c:pt>
                <c:pt idx="3">
                  <c:v>103</c:v>
                </c:pt>
                <c:pt idx="4">
                  <c:v>95</c:v>
                </c:pt>
                <c:pt idx="5">
                  <c:v>83</c:v>
                </c:pt>
                <c:pt idx="6">
                  <c:v>76</c:v>
                </c:pt>
                <c:pt idx="7">
                  <c:v>66</c:v>
                </c:pt>
                <c:pt idx="8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0-4588-B917-40ACB603D30D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Sheet7!$A$5:$A$14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Sheet7!$D$5:$D$14</c:f>
              <c:numCache>
                <c:formatCode>General</c:formatCode>
                <c:ptCount val="9"/>
                <c:pt idx="0">
                  <c:v>51</c:v>
                </c:pt>
                <c:pt idx="1">
                  <c:v>105</c:v>
                </c:pt>
                <c:pt idx="2">
                  <c:v>92</c:v>
                </c:pt>
                <c:pt idx="3">
                  <c:v>63</c:v>
                </c:pt>
                <c:pt idx="4">
                  <c:v>61</c:v>
                </c:pt>
                <c:pt idx="5">
                  <c:v>87</c:v>
                </c:pt>
                <c:pt idx="6">
                  <c:v>46</c:v>
                </c:pt>
                <c:pt idx="7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30-4588-B917-40ACB603D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057824"/>
        <c:axId val="2063031200"/>
      </c:lineChart>
      <c:catAx>
        <c:axId val="3130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31200"/>
        <c:crosses val="autoZero"/>
        <c:auto val="1"/>
        <c:lblAlgn val="ctr"/>
        <c:lblOffset val="100"/>
        <c:noMultiLvlLbl val="0"/>
      </c:catAx>
      <c:valAx>
        <c:axId val="20630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Team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0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file.xlsx]Sheet8!PivotTable7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 baseline="0">
                <a:solidFill>
                  <a:schemeClr val="bg1"/>
                </a:solidFill>
              </a:rPr>
              <a:t>Fee vs Maintenance Cost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tile tx="0" ty="0" sx="100000" sy="100000" flip="none" algn="tl"/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4"/>
            <a:tile tx="0" ty="0" sx="100000" sy="100000" flip="none" algn="tl"/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5"/>
            <a:tile tx="0" ty="0" sx="100000" sy="100000" flip="none" algn="tl"/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Sheet8!$B$3:$B$5</c:f>
              <c:strCache>
                <c:ptCount val="1"/>
                <c:pt idx="0">
                  <c:v>2021 - 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Sheet8!$A$6:$A$15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Sheet8!$B$6:$B$15</c:f>
              <c:numCache>
                <c:formatCode>General</c:formatCode>
                <c:ptCount val="9"/>
                <c:pt idx="0">
                  <c:v>1600</c:v>
                </c:pt>
                <c:pt idx="1">
                  <c:v>2411.25</c:v>
                </c:pt>
                <c:pt idx="2">
                  <c:v>3260</c:v>
                </c:pt>
                <c:pt idx="3">
                  <c:v>2220</c:v>
                </c:pt>
                <c:pt idx="4">
                  <c:v>2400</c:v>
                </c:pt>
                <c:pt idx="5">
                  <c:v>2570</c:v>
                </c:pt>
                <c:pt idx="6">
                  <c:v>2700</c:v>
                </c:pt>
                <c:pt idx="7">
                  <c:v>1200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3-4FD7-B3FD-8CFF16FA7253}"/>
            </c:ext>
          </c:extLst>
        </c:ser>
        <c:ser>
          <c:idx val="1"/>
          <c:order val="1"/>
          <c:tx>
            <c:strRef>
              <c:f>Sheet8!$C$3:$C$5</c:f>
              <c:strCache>
                <c:ptCount val="1"/>
                <c:pt idx="0">
                  <c:v>2021 - Maintenance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cat>
            <c:strRef>
              <c:f>Sheet8!$A$6:$A$15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Sheet8!$C$6:$C$15</c:f>
              <c:numCache>
                <c:formatCode>General</c:formatCode>
                <c:ptCount val="9"/>
                <c:pt idx="0">
                  <c:v>10692</c:v>
                </c:pt>
                <c:pt idx="1">
                  <c:v>6180</c:v>
                </c:pt>
                <c:pt idx="2">
                  <c:v>11585</c:v>
                </c:pt>
                <c:pt idx="3">
                  <c:v>8495</c:v>
                </c:pt>
                <c:pt idx="4">
                  <c:v>27295</c:v>
                </c:pt>
                <c:pt idx="5">
                  <c:v>8110</c:v>
                </c:pt>
                <c:pt idx="6">
                  <c:v>13515</c:v>
                </c:pt>
                <c:pt idx="7">
                  <c:v>4635</c:v>
                </c:pt>
                <c:pt idx="8">
                  <c:v>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3-4FD7-B3FD-8CFF16FA7253}"/>
            </c:ext>
          </c:extLst>
        </c:ser>
        <c:ser>
          <c:idx val="2"/>
          <c:order val="2"/>
          <c:tx>
            <c:strRef>
              <c:f>Sheet8!$D$3:$D$5</c:f>
              <c:strCache>
                <c:ptCount val="1"/>
                <c:pt idx="0">
                  <c:v>2022 - Fees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Sheet8!$A$6:$A$15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Sheet8!$D$6:$D$15</c:f>
              <c:numCache>
                <c:formatCode>General</c:formatCode>
                <c:ptCount val="9"/>
                <c:pt idx="0">
                  <c:v>1420</c:v>
                </c:pt>
                <c:pt idx="1">
                  <c:v>3270</c:v>
                </c:pt>
                <c:pt idx="2">
                  <c:v>1050</c:v>
                </c:pt>
                <c:pt idx="3">
                  <c:v>3070</c:v>
                </c:pt>
                <c:pt idx="4">
                  <c:v>2920</c:v>
                </c:pt>
                <c:pt idx="5">
                  <c:v>2470</c:v>
                </c:pt>
                <c:pt idx="6">
                  <c:v>2140</c:v>
                </c:pt>
                <c:pt idx="7">
                  <c:v>1800</c:v>
                </c:pt>
                <c:pt idx="8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3-4FD7-B3FD-8CFF16FA7253}"/>
            </c:ext>
          </c:extLst>
        </c:ser>
        <c:ser>
          <c:idx val="3"/>
          <c:order val="3"/>
          <c:tx>
            <c:strRef>
              <c:f>Sheet8!$E$3:$E$5</c:f>
              <c:strCache>
                <c:ptCount val="1"/>
                <c:pt idx="0">
                  <c:v>2022 - Maintenance</c:v>
                </c:pt>
              </c:strCache>
            </c:strRef>
          </c:tx>
          <c:spPr>
            <a:blipFill>
              <a:blip xmlns:r="http://schemas.openxmlformats.org/officeDocument/2006/relationships" r:embed="rId4"/>
              <a:tile tx="0" ty="0" sx="100000" sy="100000" flip="none" algn="tl"/>
            </a:blipFill>
            <a:ln>
              <a:noFill/>
            </a:ln>
            <a:effectLst/>
          </c:spPr>
          <c:invertIfNegative val="0"/>
          <c:cat>
            <c:strRef>
              <c:f>Sheet8!$A$6:$A$15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Sheet8!$E$6:$E$15</c:f>
              <c:numCache>
                <c:formatCode>General</c:formatCode>
                <c:ptCount val="9"/>
                <c:pt idx="0">
                  <c:v>5020</c:v>
                </c:pt>
                <c:pt idx="1">
                  <c:v>11970</c:v>
                </c:pt>
                <c:pt idx="2">
                  <c:v>5020</c:v>
                </c:pt>
                <c:pt idx="3">
                  <c:v>14552</c:v>
                </c:pt>
                <c:pt idx="4">
                  <c:v>17232</c:v>
                </c:pt>
                <c:pt idx="5">
                  <c:v>8110</c:v>
                </c:pt>
                <c:pt idx="6">
                  <c:v>6565</c:v>
                </c:pt>
                <c:pt idx="7">
                  <c:v>4635</c:v>
                </c:pt>
                <c:pt idx="8">
                  <c:v>3090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3-4FD7-B3FD-8CFF16FA7253}"/>
            </c:ext>
          </c:extLst>
        </c:ser>
        <c:ser>
          <c:idx val="4"/>
          <c:order val="4"/>
          <c:tx>
            <c:strRef>
              <c:f>Sheet8!$F$3:$F$5</c:f>
              <c:strCache>
                <c:ptCount val="1"/>
                <c:pt idx="0">
                  <c:v>2023 - Fees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Sheet8!$A$6:$A$15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Sheet8!$F$6:$F$15</c:f>
              <c:numCache>
                <c:formatCode>General</c:formatCode>
                <c:ptCount val="9"/>
                <c:pt idx="0">
                  <c:v>3099</c:v>
                </c:pt>
                <c:pt idx="1">
                  <c:v>3553</c:v>
                </c:pt>
                <c:pt idx="2">
                  <c:v>2150</c:v>
                </c:pt>
                <c:pt idx="3">
                  <c:v>2250</c:v>
                </c:pt>
                <c:pt idx="4">
                  <c:v>2930</c:v>
                </c:pt>
                <c:pt idx="5">
                  <c:v>3150</c:v>
                </c:pt>
                <c:pt idx="6">
                  <c:v>1640</c:v>
                </c:pt>
                <c:pt idx="7">
                  <c:v>2430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73-4FD7-B3FD-8CFF16FA7253}"/>
            </c:ext>
          </c:extLst>
        </c:ser>
        <c:ser>
          <c:idx val="5"/>
          <c:order val="5"/>
          <c:tx>
            <c:strRef>
              <c:f>Sheet8!$G$3:$G$5</c:f>
              <c:strCache>
                <c:ptCount val="1"/>
                <c:pt idx="0">
                  <c:v>2023 - Maintenance</c:v>
                </c:pt>
              </c:strCache>
            </c:strRef>
          </c:tx>
          <c:spPr>
            <a:blipFill>
              <a:blip xmlns:r="http://schemas.openxmlformats.org/officeDocument/2006/relationships" r:embed="rId5"/>
              <a:tile tx="0" ty="0" sx="100000" sy="100000" flip="none" algn="tl"/>
            </a:blipFill>
            <a:ln>
              <a:noFill/>
            </a:ln>
            <a:effectLst/>
          </c:spPr>
          <c:invertIfNegative val="0"/>
          <c:cat>
            <c:strRef>
              <c:f>Sheet8!$A$6:$A$15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Sheet8!$G$6:$G$15</c:f>
              <c:numCache>
                <c:formatCode>General</c:formatCode>
                <c:ptCount val="9"/>
                <c:pt idx="0">
                  <c:v>11970</c:v>
                </c:pt>
                <c:pt idx="1">
                  <c:v>11970</c:v>
                </c:pt>
                <c:pt idx="2">
                  <c:v>8110</c:v>
                </c:pt>
                <c:pt idx="3">
                  <c:v>8495</c:v>
                </c:pt>
                <c:pt idx="4">
                  <c:v>10425</c:v>
                </c:pt>
                <c:pt idx="5">
                  <c:v>8110</c:v>
                </c:pt>
                <c:pt idx="6">
                  <c:v>6950</c:v>
                </c:pt>
                <c:pt idx="7">
                  <c:v>8110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73-4FD7-B3FD-8CFF16FA7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274448"/>
        <c:axId val="2110391440"/>
      </c:barChart>
      <c:catAx>
        <c:axId val="75627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Month</a:t>
                </a:r>
              </a:p>
            </c:rich>
          </c:tx>
          <c:layout>
            <c:manualLayout>
              <c:xMode val="edge"/>
              <c:yMode val="edge"/>
              <c:x val="0.392930208153563"/>
              <c:y val="0.906140390627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91440"/>
        <c:crosses val="autoZero"/>
        <c:auto val="1"/>
        <c:lblAlgn val="ctr"/>
        <c:lblOffset val="100"/>
        <c:noMultiLvlLbl val="0"/>
      </c:catAx>
      <c:valAx>
        <c:axId val="21103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bg1"/>
                    </a:solidFill>
                  </a:rPr>
                  <a:t>Dollar</a:t>
                </a:r>
                <a:r>
                  <a:rPr lang="en-US" sz="1600" b="1" baseline="0">
                    <a:solidFill>
                      <a:schemeClr val="bg1"/>
                    </a:solidFill>
                  </a:rPr>
                  <a:t> Amount</a:t>
                </a:r>
                <a:endParaRPr lang="en-US" sz="1600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7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tx2">
            <a:lumMod val="7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file.xlsx]Sheet9!PivotTable8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Total Spending By Year</a:t>
            </a:r>
          </a:p>
        </c:rich>
      </c:tx>
      <c:layout>
        <c:manualLayout>
          <c:xMode val="edge"/>
          <c:yMode val="edge"/>
          <c:x val="0.40877497461886153"/>
          <c:y val="4.7791061739697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88753EA9-D832-40DA-A3F9-626B832203F3}" type="VALUE">
                  <a:rPr lang="en-US" sz="1600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E7C2D65C-66AF-4D5C-8E88-9781D8915D55}" type="VALUE">
                  <a:rPr lang="en-US" sz="1600" baseline="0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E9B5B14D-2086-421D-9499-36C3E477AA30}" type="VALUE">
                  <a:rPr lang="en-US" sz="1600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8753EA9-D832-40DA-A3F9-626B832203F3}" type="VALUE">
                      <a:rPr lang="en-US" sz="160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B9B-4428-9CE8-37CCAD501E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Sheet9!$B$5</c:f>
              <c:numCache>
                <c:formatCode>General</c:formatCode>
                <c:ptCount val="1"/>
                <c:pt idx="0">
                  <c:v>6601476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C-4C8A-BE30-FD2DD1FF2516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C2D65C-66AF-4D5C-8E88-9781D8915D55}" type="VALUE">
                      <a:rPr lang="en-US" sz="1600" baseline="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B9B-4428-9CE8-37CCAD501E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Sheet9!$C$5</c:f>
              <c:numCache>
                <c:formatCode>General</c:formatCode>
                <c:ptCount val="1"/>
                <c:pt idx="0">
                  <c:v>4978533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C-4C8A-BE30-FD2DD1FF2516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9B5B14D-2086-421D-9499-36C3E477AA30}" type="VALUE">
                      <a:rPr lang="en-US" sz="160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B9B-4428-9CE8-37CCAD501E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Sheet9!$D$5</c:f>
              <c:numCache>
                <c:formatCode>General</c:formatCode>
                <c:ptCount val="1"/>
                <c:pt idx="0">
                  <c:v>3979920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C-4C8A-BE30-FD2DD1FF25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6285968"/>
        <c:axId val="645764416"/>
      </c:barChart>
      <c:catAx>
        <c:axId val="75628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64416"/>
        <c:crosses val="autoZero"/>
        <c:auto val="1"/>
        <c:lblAlgn val="ctr"/>
        <c:lblOffset val="100"/>
        <c:noMultiLvlLbl val="0"/>
      </c:catAx>
      <c:valAx>
        <c:axId val="6457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Spending in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8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file.xlsx]Sheet9!PivotTable8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324759405074359"/>
          <c:y val="0.16564596092155148"/>
          <c:w val="0.68469685039370076"/>
          <c:h val="0.75010279965004378"/>
        </c:manualLayout>
      </c:layout>
      <c:lineChart>
        <c:grouping val="standar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Sheet9!$B$5</c:f>
              <c:numCache>
                <c:formatCode>General</c:formatCode>
                <c:ptCount val="1"/>
                <c:pt idx="0">
                  <c:v>6601476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2-4568-8C13-561B54193ABB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Sheet9!$C$5</c:f>
              <c:numCache>
                <c:formatCode>General</c:formatCode>
                <c:ptCount val="1"/>
                <c:pt idx="0">
                  <c:v>4978533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2-4568-8C13-561B54193ABB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Sheet9!$D$5</c:f>
              <c:numCache>
                <c:formatCode>General</c:formatCode>
                <c:ptCount val="1"/>
                <c:pt idx="0">
                  <c:v>3979920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2-4568-8C13-561B54193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336704"/>
        <c:axId val="755253408"/>
      </c:lineChart>
      <c:catAx>
        <c:axId val="135233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53408"/>
        <c:crosses val="autoZero"/>
        <c:auto val="1"/>
        <c:lblAlgn val="ctr"/>
        <c:lblOffset val="100"/>
        <c:noMultiLvlLbl val="0"/>
      </c:catAx>
      <c:valAx>
        <c:axId val="75525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3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file.xlsx]Sheet10!PivotTable9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800" b="1"/>
              <a:t>Adjusted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AB77CD0-634A-42EB-87C6-7EEF8829F3F9}" type="VALUE">
                  <a:rPr lang="en-US" sz="120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91FDF77-69FB-46F4-8991-4C4271F14CE9}" type="VALUE">
                  <a:rPr lang="en-US" sz="120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D352D0-5A57-400C-958C-86A0EED54C6D}" type="VALUE">
                  <a:rPr lang="en-US" sz="120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6060534-E55A-49A2-A61D-5D4F3DF7723A}" type="VALUE">
                  <a:rPr lang="en-US" sz="1200" baseline="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5F42898-DC25-428C-B448-0076A89BFAF7}" type="VALUE">
                  <a:rPr lang="en-US" sz="120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457BEE3-37FB-4921-9D5F-DCB3713005C7}" type="VALUE">
                  <a:rPr lang="en-US" sz="1200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Sheet10!$A$3:$A$5</c:f>
              <c:strCache>
                <c:ptCount val="1"/>
                <c:pt idx="0">
                  <c:v>2021 - Sum of Adjust Lower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D26-428B-A02F-4223DC7663B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7D352D0-5A57-400C-958C-86A0EED54C6D}" type="VALUE">
                      <a:rPr lang="en-US" sz="12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0D26-428B-A02F-4223DC766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Sheet10!$A$6</c:f>
              <c:numCache>
                <c:formatCode>General</c:formatCode>
                <c:ptCount val="1"/>
                <c:pt idx="0">
                  <c:v>5708026.5278399996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6-428B-A02F-4223DC7663B6}"/>
            </c:ext>
          </c:extLst>
        </c:ser>
        <c:ser>
          <c:idx val="1"/>
          <c:order val="1"/>
          <c:tx>
            <c:strRef>
              <c:f>Sheet10!$B$3:$B$5</c:f>
              <c:strCache>
                <c:ptCount val="1"/>
                <c:pt idx="0">
                  <c:v>2021 - Sum of Adjust Upper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0D26-428B-A02F-4223DC7663B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6060534-E55A-49A2-A61D-5D4F3DF7723A}" type="VALUE">
                      <a:rPr lang="en-US" sz="1200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0D26-428B-A02F-4223DC766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Sheet10!$B$6</c:f>
              <c:numCache>
                <c:formatCode>General</c:formatCode>
                <c:ptCount val="1"/>
                <c:pt idx="0">
                  <c:v>6659364.2824799996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6-428B-A02F-4223DC7663B6}"/>
            </c:ext>
          </c:extLst>
        </c:ser>
        <c:ser>
          <c:idx val="2"/>
          <c:order val="2"/>
          <c:tx>
            <c:strRef>
              <c:f>Sheet10!$C$3:$C$5</c:f>
              <c:strCache>
                <c:ptCount val="1"/>
                <c:pt idx="0">
                  <c:v>2022 - Sum of Adjust Lower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D26-428B-A02F-4223DC7663B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AB77CD0-634A-42EB-87C6-7EEF8829F3F9}" type="VALUE">
                      <a:rPr lang="en-US" sz="12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D26-428B-A02F-4223DC766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Sheet10!$C$6</c:f>
              <c:numCache>
                <c:formatCode>General</c:formatCode>
                <c:ptCount val="1"/>
                <c:pt idx="0">
                  <c:v>4356116.8043399993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6-428B-A02F-4223DC7663B6}"/>
            </c:ext>
          </c:extLst>
        </c:ser>
        <c:ser>
          <c:idx val="3"/>
          <c:order val="3"/>
          <c:tx>
            <c:strRef>
              <c:f>Sheet10!$D$3:$D$5</c:f>
              <c:strCache>
                <c:ptCount val="1"/>
                <c:pt idx="0">
                  <c:v>2022 - Sum of Adjust Upper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0D26-428B-A02F-4223DC7663B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5F42898-DC25-428C-B448-0076A89BFAF7}" type="VALUE">
                      <a:rPr lang="en-US" sz="12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0D26-428B-A02F-4223DC766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Sheet10!$D$6</c:f>
              <c:numCache>
                <c:formatCode>General</c:formatCode>
                <c:ptCount val="1"/>
                <c:pt idx="0">
                  <c:v>5082136.2717299992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6-428B-A02F-4223DC7663B6}"/>
            </c:ext>
          </c:extLst>
        </c:ser>
        <c:ser>
          <c:idx val="4"/>
          <c:order val="4"/>
          <c:tx>
            <c:strRef>
              <c:f>Sheet10!$E$3:$E$5</c:f>
              <c:strCache>
                <c:ptCount val="1"/>
                <c:pt idx="0">
                  <c:v>2023 - Sum of Adjust Lower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0D26-428B-A02F-4223DC7663B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457BEE3-37FB-4921-9D5F-DCB3713005C7}" type="VALUE">
                      <a:rPr lang="en-US" sz="12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0D26-428B-A02F-4223DC766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Sheet10!$E$6</c:f>
              <c:numCache>
                <c:formatCode>General</c:formatCode>
                <c:ptCount val="1"/>
                <c:pt idx="0">
                  <c:v>3115189.5440399996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26-428B-A02F-4223DC7663B6}"/>
            </c:ext>
          </c:extLst>
        </c:ser>
        <c:ser>
          <c:idx val="5"/>
          <c:order val="5"/>
          <c:tx>
            <c:strRef>
              <c:f>Sheet10!$F$3:$F$5</c:f>
              <c:strCache>
                <c:ptCount val="1"/>
                <c:pt idx="0">
                  <c:v>2023 - Sum of Adjust Upper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0D26-428B-A02F-4223DC7663B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91FDF77-69FB-46F4-8991-4C4271F14CE9}" type="VALUE">
                      <a:rPr lang="en-US" sz="12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0D26-428B-A02F-4223DC766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Sheet10!$F$6</c:f>
              <c:numCache>
                <c:formatCode>General</c:formatCode>
                <c:ptCount val="1"/>
                <c:pt idx="0">
                  <c:v>3634387.8013799991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26-428B-A02F-4223DC7663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608345024"/>
        <c:axId val="127466288"/>
      </c:barChart>
      <c:catAx>
        <c:axId val="60834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UppEr and Lower Bound by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6288"/>
        <c:crosses val="autoZero"/>
        <c:auto val="1"/>
        <c:lblAlgn val="ctr"/>
        <c:lblOffset val="100"/>
        <c:noMultiLvlLbl val="0"/>
      </c:catAx>
      <c:valAx>
        <c:axId val="1274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Amount</a:t>
                </a:r>
                <a:r>
                  <a:rPr lang="en-US" sz="1600" b="1" baseline="0"/>
                  <a:t> in Dolars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Master file.xlsx]Sheet12!PivotTable11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800" b="1"/>
              <a:t>Adjusted Tax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Sheet12!$A$3:$A$5</c:f>
              <c:strCache>
                <c:ptCount val="1"/>
                <c:pt idx="0">
                  <c:v>2021 - Sum of Tax Lower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Sheet12!$A$6</c:f>
              <c:numCache>
                <c:formatCode>General</c:formatCode>
                <c:ptCount val="1"/>
                <c:pt idx="0">
                  <c:v>71350.331598000004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C-424B-928A-8B272A80087E}"/>
            </c:ext>
          </c:extLst>
        </c:ser>
        <c:ser>
          <c:idx val="1"/>
          <c:order val="1"/>
          <c:tx>
            <c:strRef>
              <c:f>Sheet12!$B$3:$B$5</c:f>
              <c:strCache>
                <c:ptCount val="1"/>
                <c:pt idx="0">
                  <c:v>2021 - Sum of Tax Upper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Sheet12!$B$6</c:f>
              <c:numCache>
                <c:formatCode>General</c:formatCode>
                <c:ptCount val="1"/>
                <c:pt idx="0">
                  <c:v>83242.053530999998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8C-424B-928A-8B272A80087E}"/>
            </c:ext>
          </c:extLst>
        </c:ser>
        <c:ser>
          <c:idx val="2"/>
          <c:order val="2"/>
          <c:tx>
            <c:strRef>
              <c:f>Sheet12!$C$3:$C$5</c:f>
              <c:strCache>
                <c:ptCount val="1"/>
                <c:pt idx="0">
                  <c:v>2022 - Sum of Tax Lower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Sheet12!$C$6</c:f>
              <c:numCache>
                <c:formatCode>General</c:formatCode>
                <c:ptCount val="1"/>
                <c:pt idx="0">
                  <c:v>54451.460054249997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8C-424B-928A-8B272A80087E}"/>
            </c:ext>
          </c:extLst>
        </c:ser>
        <c:ser>
          <c:idx val="3"/>
          <c:order val="3"/>
          <c:tx>
            <c:strRef>
              <c:f>Sheet12!$D$3:$D$5</c:f>
              <c:strCache>
                <c:ptCount val="1"/>
                <c:pt idx="0">
                  <c:v>2022 - Sum of Tax Upper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Sheet12!$D$6</c:f>
              <c:numCache>
                <c:formatCode>General</c:formatCode>
                <c:ptCount val="1"/>
                <c:pt idx="0">
                  <c:v>63526.703396624995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8C-424B-928A-8B272A80087E}"/>
            </c:ext>
          </c:extLst>
        </c:ser>
        <c:ser>
          <c:idx val="4"/>
          <c:order val="4"/>
          <c:tx>
            <c:strRef>
              <c:f>Sheet12!$E$3:$E$5</c:f>
              <c:strCache>
                <c:ptCount val="1"/>
                <c:pt idx="0">
                  <c:v>2023 - Sum of Tax Lower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Sheet12!$E$6</c:f>
              <c:numCache>
                <c:formatCode>General</c:formatCode>
                <c:ptCount val="1"/>
                <c:pt idx="0">
                  <c:v>38939.869300499995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8C-424B-928A-8B272A80087E}"/>
            </c:ext>
          </c:extLst>
        </c:ser>
        <c:ser>
          <c:idx val="5"/>
          <c:order val="5"/>
          <c:tx>
            <c:strRef>
              <c:f>Sheet12!$F$3:$F$5</c:f>
              <c:strCache>
                <c:ptCount val="1"/>
                <c:pt idx="0">
                  <c:v>2023 - Sum of Tax Upper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Sheet12!$F$6</c:f>
              <c:numCache>
                <c:formatCode>General</c:formatCode>
                <c:ptCount val="1"/>
                <c:pt idx="0">
                  <c:v>45429.847517249989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8C-424B-928A-8B272A800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651375376"/>
        <c:axId val="805265328"/>
      </c:barChart>
      <c:catAx>
        <c:axId val="65137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Lower And Upper Tax Revenue Bound By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65328"/>
        <c:crosses val="autoZero"/>
        <c:auto val="1"/>
        <c:lblAlgn val="ctr"/>
        <c:lblOffset val="100"/>
        <c:noMultiLvlLbl val="0"/>
      </c:catAx>
      <c:valAx>
        <c:axId val="8052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baseline="0"/>
                  <a:t>Amount in Dollars</a:t>
                </a:r>
              </a:p>
            </c:rich>
          </c:tx>
          <c:layout>
            <c:manualLayout>
              <c:xMode val="edge"/>
              <c:yMode val="edge"/>
              <c:x val="1.518288474810214E-2"/>
              <c:y val="0.35477424146373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7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20</xdr:row>
      <xdr:rowOff>42861</xdr:rowOff>
    </xdr:from>
    <xdr:to>
      <xdr:col>12</xdr:col>
      <xdr:colOff>19050</xdr:colOff>
      <xdr:row>48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209DE-DA26-8CB8-7853-9A0AA21D9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76200</xdr:colOff>
      <xdr:row>13</xdr:row>
      <xdr:rowOff>63500</xdr:rowOff>
    </xdr:from>
    <xdr:to>
      <xdr:col>30</xdr:col>
      <xdr:colOff>330200</xdr:colOff>
      <xdr:row>53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8428C0-B245-E1B2-E39C-550B00540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18</xdr:row>
      <xdr:rowOff>166686</xdr:rowOff>
    </xdr:from>
    <xdr:to>
      <xdr:col>9</xdr:col>
      <xdr:colOff>381001</xdr:colOff>
      <xdr:row>52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C7AA9-8F3A-0E57-1C12-C2B627D3D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</xdr:colOff>
      <xdr:row>8</xdr:row>
      <xdr:rowOff>133350</xdr:rowOff>
    </xdr:from>
    <xdr:to>
      <xdr:col>29</xdr:col>
      <xdr:colOff>527050</xdr:colOff>
      <xdr:row>49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BAC989-62A7-FEE2-2E4E-4D46657DF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16</xdr:row>
      <xdr:rowOff>33335</xdr:rowOff>
    </xdr:from>
    <xdr:to>
      <xdr:col>18</xdr:col>
      <xdr:colOff>514350</xdr:colOff>
      <xdr:row>55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B67EC-DA0C-5CBC-706C-DBD0BB467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488950</xdr:colOff>
      <xdr:row>6</xdr:row>
      <xdr:rowOff>139700</xdr:rowOff>
    </xdr:from>
    <xdr:to>
      <xdr:col>21</xdr:col>
      <xdr:colOff>381000</xdr:colOff>
      <xdr:row>49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9AD88-8F79-049C-30BB-A5F480F52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95250</xdr:colOff>
      <xdr:row>4</xdr:row>
      <xdr:rowOff>58737</xdr:rowOff>
    </xdr:from>
    <xdr:to>
      <xdr:col>29</xdr:col>
      <xdr:colOff>400050</xdr:colOff>
      <xdr:row>18</xdr:row>
      <xdr:rowOff>134937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977D51-9269-0888-75FC-ADC910F4F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9</xdr:row>
      <xdr:rowOff>176211</xdr:rowOff>
    </xdr:from>
    <xdr:to>
      <xdr:col>8</xdr:col>
      <xdr:colOff>190500</xdr:colOff>
      <xdr:row>37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54632-E68E-07DD-F62A-7CFCA90A7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17</xdr:row>
      <xdr:rowOff>76200</xdr:rowOff>
    </xdr:from>
    <xdr:to>
      <xdr:col>16</xdr:col>
      <xdr:colOff>447675</xdr:colOff>
      <xdr:row>51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035B2B-3FE4-A0CB-C822-0FC2A4496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30.977074074071" createdVersion="8" refreshedVersion="8" minRefreshableVersion="3" recordCount="98" xr:uid="{9EBBB204-AC53-44BF-AA42-91841E6D6548}">
  <cacheSource type="worksheet">
    <worksheetSource ref="A1:M99" sheet="Sheet1"/>
  </cacheSource>
  <cacheFields count="13">
    <cacheField name="days" numFmtId="0">
      <sharedItems containsSemiMixedTypes="0" containsString="0" containsNumber="1" containsInteger="1" minValue="0" maxValue="5"/>
    </cacheField>
    <cacheField name="teams" numFmtId="0">
      <sharedItems containsSemiMixedTypes="0" containsString="0" containsNumber="1" containsInteger="1" minValue="0" maxValue="70"/>
    </cacheField>
    <cacheField name="fee" numFmtId="0">
      <sharedItems containsSemiMixedTypes="0" containsString="0" containsNumber="1" minValue="0" maxValue="1273"/>
    </cacheField>
    <cacheField name="labor" numFmtId="0">
      <sharedItems containsSemiMixedTypes="0" containsString="0" containsNumber="1" containsInteger="1" minValue="0" maxValue="10000"/>
    </cacheField>
    <cacheField name="material" numFmtId="0">
      <sharedItems containsSemiMixedTypes="0" containsString="0" containsNumber="1" containsInteger="1" minValue="0" maxValue="1100"/>
    </cacheField>
    <cacheField name="combined" numFmtId="0">
      <sharedItems containsSemiMixedTypes="0" containsString="0" containsNumber="1" containsInteger="1" minValue="0" maxValue="11100"/>
    </cacheField>
    <cacheField name="month" numFmtId="0">
      <sharedItems count="10">
        <s v="March"/>
        <s v="April"/>
        <s v="May"/>
        <s v="June"/>
        <s v="July"/>
        <s v="August"/>
        <s v="September"/>
        <s v="October"/>
        <s v="November"/>
        <s v="November "/>
      </sharedItems>
    </cacheField>
    <cacheField name="players" numFmtId="0">
      <sharedItems containsSemiMixedTypes="0" containsString="0" containsNumber="1" containsInteger="1" minValue="0" maxValue="1470"/>
    </cacheField>
    <cacheField name="spending" numFmtId="0">
      <sharedItems containsSemiMixedTypes="0" containsString="0" containsNumber="1" containsInteger="1" minValue="0" maxValue="1514100" count="39">
        <n v="250908"/>
        <n v="0"/>
        <n v="86520"/>
        <n v="224952"/>
        <n v="99498"/>
        <n v="311472"/>
        <n v="276864"/>
        <n v="121128"/>
        <n v="190344"/>
        <n v="242256"/>
        <n v="125454"/>
        <n v="337428"/>
        <n v="744072"/>
        <n v="82194"/>
        <n v="138432"/>
        <n v="103824"/>
        <n v="142065"/>
        <n v="134106"/>
        <n v="77868"/>
        <n v="69216"/>
        <n v="198996"/>
        <n v="95172"/>
        <n v="294168"/>
        <n v="181692"/>
        <n v="112476"/>
        <n v="155736"/>
        <n v="73542"/>
        <n v="216300"/>
        <n v="90846"/>
        <n v="285516"/>
        <n v="64890"/>
        <n v="108150"/>
        <n v="173040"/>
        <n v="60564"/>
        <n v="233604"/>
        <n v="207648"/>
        <n v="726768"/>
        <n v="1514100"/>
        <n v="194670"/>
      </sharedItems>
    </cacheField>
    <cacheField name="nonlocal" numFmtId="0">
      <sharedItems containsSemiMixedTypes="0" containsString="0" containsNumber="1" minValue="0" maxValue="1347549"/>
    </cacheField>
    <cacheField name="cost per team" numFmtId="0">
      <sharedItems containsSemiMixedTypes="0" containsString="0" containsNumber="1" minValue="0" maxValue="96.666666666666671"/>
    </cacheField>
    <cacheField name="year" numFmtId="0">
      <sharedItems containsSemiMixedTypes="0" containsString="0" containsNumber="1" containsInteger="1" minValue="2021" maxValue="2023" count="3">
        <n v="2022"/>
        <n v="2023"/>
        <n v="2021"/>
      </sharedItems>
    </cacheField>
    <cacheField name="Note: Cells 2-36 are 2022 data, 37-61 2023, 62-95 202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31.076686574073" createdVersion="8" refreshedVersion="8" minRefreshableVersion="3" recordCount="98" xr:uid="{DECA32E6-C832-4AA5-BAAF-8F9601C54121}">
  <cacheSource type="worksheet">
    <worksheetSource ref="A1:Q99" sheet="Sheet1"/>
  </cacheSource>
  <cacheFields count="17">
    <cacheField name="days" numFmtId="0">
      <sharedItems containsSemiMixedTypes="0" containsString="0" containsNumber="1" containsInteger="1" minValue="0" maxValue="5"/>
    </cacheField>
    <cacheField name="teams" numFmtId="0">
      <sharedItems containsSemiMixedTypes="0" containsString="0" containsNumber="1" containsInteger="1" minValue="0" maxValue="70"/>
    </cacheField>
    <cacheField name="fee" numFmtId="0">
      <sharedItems containsSemiMixedTypes="0" containsString="0" containsNumber="1" minValue="0" maxValue="1273"/>
    </cacheField>
    <cacheField name="labor" numFmtId="0">
      <sharedItems containsSemiMixedTypes="0" containsString="0" containsNumber="1" containsInteger="1" minValue="0" maxValue="10000"/>
    </cacheField>
    <cacheField name="material" numFmtId="0">
      <sharedItems containsSemiMixedTypes="0" containsString="0" containsNumber="1" containsInteger="1" minValue="0" maxValue="1100"/>
    </cacheField>
    <cacheField name="combined" numFmtId="0">
      <sharedItems containsSemiMixedTypes="0" containsString="0" containsNumber="1" containsInteger="1" minValue="0" maxValue="11100"/>
    </cacheField>
    <cacheField name="month" numFmtId="0">
      <sharedItems/>
    </cacheField>
    <cacheField name="players" numFmtId="0">
      <sharedItems containsSemiMixedTypes="0" containsString="0" containsNumber="1" containsInteger="1" minValue="0" maxValue="1470"/>
    </cacheField>
    <cacheField name="spending" numFmtId="0">
      <sharedItems containsSemiMixedTypes="0" containsString="0" containsNumber="1" containsInteger="1" minValue="0" maxValue="1514100"/>
    </cacheField>
    <cacheField name="nonlocal" numFmtId="0">
      <sharedItems containsSemiMixedTypes="0" containsString="0" containsNumber="1" minValue="0" maxValue="1347549"/>
    </cacheField>
    <cacheField name="cost per team" numFmtId="0">
      <sharedItems containsSemiMixedTypes="0" containsString="0" containsNumber="1" minValue="0" maxValue="96.666666666666671"/>
    </cacheField>
    <cacheField name="year" numFmtId="0">
      <sharedItems containsSemiMixedTypes="0" containsString="0" containsNumber="1" containsInteger="1" minValue="2021" maxValue="2023"/>
    </cacheField>
    <cacheField name="Note: Cells 2-36 are 2022 data, 37-61 2023, 62-95 2021" numFmtId="0">
      <sharedItems containsNonDate="0" containsString="0" containsBlank="1"/>
    </cacheField>
    <cacheField name="Totals" numFmtId="0">
      <sharedItems containsString="0" containsBlank="1" containsNumber="1" containsInteger="1" minValue="3560298" maxValue="6523608"/>
    </cacheField>
    <cacheField name="Year2" numFmtId="0">
      <sharedItems containsString="0" containsBlank="1" containsNumber="1" containsInteger="1" minValue="2021" maxValue="2023" count="4">
        <n v="2022"/>
        <n v="2023"/>
        <n v="2021"/>
        <m/>
      </sharedItems>
    </cacheField>
    <cacheField name="Adjust Lower" numFmtId="0">
      <sharedItems containsString="0" containsBlank="1" containsNumber="1" minValue="3115189.5440399996" maxValue="5708026.5278399996"/>
    </cacheField>
    <cacheField name="Adjust Upper" numFmtId="0">
      <sharedItems containsString="0" containsBlank="1" containsNumber="1" minValue="3634387.8013799991" maxValue="6659364.28247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31.108097337965" createdVersion="8" refreshedVersion="8" minRefreshableVersion="3" recordCount="3" xr:uid="{E2D483DA-DE92-4256-87A2-D8D6AC7AD316}">
  <cacheSource type="worksheet">
    <worksheetSource ref="N1:S4" sheet="Sheet1"/>
  </cacheSource>
  <cacheFields count="6">
    <cacheField name="Totals" numFmtId="0">
      <sharedItems containsSemiMixedTypes="0" containsString="0" containsNumber="1" containsInteger="1" minValue="3560298" maxValue="6523608"/>
    </cacheField>
    <cacheField name="Year2" numFmtId="0">
      <sharedItems containsSemiMixedTypes="0" containsString="0" containsNumber="1" containsInteger="1" minValue="2021" maxValue="2023" count="3">
        <n v="2022"/>
        <n v="2023"/>
        <n v="2021"/>
      </sharedItems>
    </cacheField>
    <cacheField name="Adjust Lower" numFmtId="0">
      <sharedItems containsSemiMixedTypes="0" containsString="0" containsNumber="1" minValue="3115189.5440399996" maxValue="5708026.5278399996"/>
    </cacheField>
    <cacheField name="Adjust Upper" numFmtId="0">
      <sharedItems containsSemiMixedTypes="0" containsString="0" containsNumber="1" minValue="3634387.8013799991" maxValue="6659364.2824799996"/>
    </cacheField>
    <cacheField name="Tax Lower" numFmtId="0">
      <sharedItems containsSemiMixedTypes="0" containsString="0" containsNumber="1" minValue="38939.869300499995" maxValue="71350.331598000004"/>
    </cacheField>
    <cacheField name="Tax Upper" numFmtId="0">
      <sharedItems containsSemiMixedTypes="0" containsString="0" containsNumber="1" minValue="45429.847517249989" maxValue="83242.053530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31.50994074074" createdVersion="8" refreshedVersion="8" minRefreshableVersion="3" recordCount="98" xr:uid="{8EB64F48-E381-4FDC-87D5-42F7A7C5581A}">
  <cacheSource type="worksheet">
    <worksheetSource ref="A1:S99" sheet="Sheet1"/>
  </cacheSource>
  <cacheFields count="19">
    <cacheField name="days" numFmtId="0">
      <sharedItems containsSemiMixedTypes="0" containsString="0" containsNumber="1" containsInteger="1" minValue="0" maxValue="5"/>
    </cacheField>
    <cacheField name="teams" numFmtId="0">
      <sharedItems containsSemiMixedTypes="0" containsString="0" containsNumber="1" containsInteger="1" minValue="0" maxValue="70"/>
    </cacheField>
    <cacheField name="fee" numFmtId="0">
      <sharedItems containsSemiMixedTypes="0" containsString="0" containsNumber="1" minValue="0" maxValue="1273"/>
    </cacheField>
    <cacheField name="labor" numFmtId="0">
      <sharedItems containsSemiMixedTypes="0" containsString="0" containsNumber="1" containsInteger="1" minValue="0" maxValue="10000"/>
    </cacheField>
    <cacheField name="material" numFmtId="0">
      <sharedItems containsSemiMixedTypes="0" containsString="0" containsNumber="1" containsInteger="1" minValue="0" maxValue="1100"/>
    </cacheField>
    <cacheField name="combined" numFmtId="0">
      <sharedItems containsSemiMixedTypes="0" containsString="0" containsNumber="1" containsInteger="1" minValue="0" maxValue="11100"/>
    </cacheField>
    <cacheField name="month" numFmtId="0">
      <sharedItems/>
    </cacheField>
    <cacheField name="players" numFmtId="0">
      <sharedItems containsSemiMixedTypes="0" containsString="0" containsNumber="1" containsInteger="1" minValue="0" maxValue="1470"/>
    </cacheField>
    <cacheField name="spending" numFmtId="0">
      <sharedItems containsSemiMixedTypes="0" containsString="0" containsNumber="1" containsInteger="1" minValue="0" maxValue="1514100"/>
    </cacheField>
    <cacheField name="nonlocal" numFmtId="0">
      <sharedItems containsSemiMixedTypes="0" containsString="0" containsNumber="1" minValue="0" maxValue="1347549"/>
    </cacheField>
    <cacheField name="cost per team" numFmtId="0">
      <sharedItems containsSemiMixedTypes="0" containsString="0" containsNumber="1" minValue="0" maxValue="96.666666666666671"/>
    </cacheField>
    <cacheField name="year" numFmtId="0">
      <sharedItems containsSemiMixedTypes="0" containsString="0" containsNumber="1" containsInteger="1" minValue="2021" maxValue="2023" count="3">
        <n v="2022"/>
        <n v="2023"/>
        <n v="2021"/>
      </sharedItems>
    </cacheField>
    <cacheField name="Note: Cells 2-36 are 2022 data, 37-61 2023, 62-95 2021, 96-99 Oct23" numFmtId="0">
      <sharedItems containsNonDate="0" containsString="0" containsBlank="1"/>
    </cacheField>
    <cacheField name="Totals" numFmtId="0">
      <sharedItems containsString="0" containsBlank="1" containsNumber="1" containsInteger="1" minValue="4057788" maxValue="6523608" count="4">
        <n v="4978533"/>
        <n v="4057788"/>
        <n v="6523608"/>
        <m/>
      </sharedItems>
    </cacheField>
    <cacheField name="Year2" numFmtId="0">
      <sharedItems containsString="0" containsBlank="1" containsNumber="1" containsInteger="1" minValue="2021" maxValue="2023" count="4">
        <n v="2022"/>
        <n v="2023"/>
        <n v="2021"/>
        <m/>
      </sharedItems>
    </cacheField>
    <cacheField name="Adjust Lower" numFmtId="0">
      <sharedItems containsString="0" containsBlank="1" containsNumber="1" minValue="3550483.3442399995" maxValue="5708026.5278399996" count="4">
        <n v="4356116.8043399993"/>
        <n v="3550483.3442399995"/>
        <n v="5708026.5278399996"/>
        <m/>
      </sharedItems>
    </cacheField>
    <cacheField name="Adjust Upper" numFmtId="0">
      <sharedItems containsString="0" containsBlank="1" containsNumber="1" minValue="4142230.5682799993" maxValue="6659364.2824799996" count="4">
        <n v="5082136.2717299992"/>
        <n v="4142230.5682799993"/>
        <n v="6659364.2824799996"/>
        <m/>
      </sharedItems>
    </cacheField>
    <cacheField name="Tax Lower" numFmtId="0">
      <sharedItems containsString="0" containsBlank="1" containsNumber="1" minValue="44381.041803" maxValue="71350.331598000004"/>
    </cacheField>
    <cacheField name="Tax Upper" numFmtId="0">
      <sharedItems containsString="0" containsBlank="1" containsNumber="1" minValue="51777.882103499993" maxValue="83242.053530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"/>
    <n v="29"/>
    <n v="820"/>
    <n v="3106"/>
    <n v="369"/>
    <n v="3475"/>
    <x v="0"/>
    <n v="609"/>
    <x v="0"/>
    <n v="223308.12"/>
    <n v="28.275862068965516"/>
    <x v="0"/>
    <m/>
  </r>
  <r>
    <n v="0"/>
    <n v="0"/>
    <n v="0"/>
    <n v="0"/>
    <n v="0"/>
    <n v="0"/>
    <x v="0"/>
    <n v="0"/>
    <x v="1"/>
    <n v="0"/>
    <n v="0"/>
    <x v="0"/>
    <m/>
  </r>
  <r>
    <n v="0"/>
    <n v="0"/>
    <n v="0"/>
    <n v="0"/>
    <n v="0"/>
    <n v="0"/>
    <x v="0"/>
    <n v="0"/>
    <x v="1"/>
    <n v="0"/>
    <n v="0"/>
    <x v="0"/>
    <m/>
  </r>
  <r>
    <n v="1"/>
    <n v="20"/>
    <n v="600"/>
    <n v="1326"/>
    <n v="219"/>
    <n v="1545"/>
    <x v="0"/>
    <n v="420"/>
    <x v="2"/>
    <n v="77002.8"/>
    <n v="30"/>
    <x v="0"/>
    <m/>
  </r>
  <r>
    <n v="2"/>
    <n v="26"/>
    <n v="900"/>
    <n v="3106"/>
    <n v="369"/>
    <n v="3475"/>
    <x v="1"/>
    <n v="546"/>
    <x v="3"/>
    <n v="200207.28"/>
    <n v="34.615384615384613"/>
    <x v="0"/>
    <m/>
  </r>
  <r>
    <n v="0"/>
    <n v="0"/>
    <n v="0"/>
    <n v="0"/>
    <n v="0"/>
    <n v="0"/>
    <x v="1"/>
    <n v="0"/>
    <x v="1"/>
    <n v="0"/>
    <n v="0"/>
    <x v="0"/>
    <m/>
  </r>
  <r>
    <n v="1"/>
    <n v="23"/>
    <n v="600"/>
    <n v="1326"/>
    <n v="219"/>
    <n v="1545"/>
    <x v="1"/>
    <n v="483"/>
    <x v="4"/>
    <n v="88553.22"/>
    <n v="26.086956521739129"/>
    <x v="0"/>
    <m/>
  </r>
  <r>
    <n v="2"/>
    <n v="36"/>
    <n v="870"/>
    <n v="3106"/>
    <n v="369"/>
    <n v="3475"/>
    <x v="1"/>
    <n v="756"/>
    <x v="5"/>
    <n v="277210.08"/>
    <n v="24.166666666666668"/>
    <x v="0"/>
    <m/>
  </r>
  <r>
    <n v="2"/>
    <n v="32"/>
    <n v="900"/>
    <n v="3106"/>
    <n v="369"/>
    <n v="3475"/>
    <x v="1"/>
    <n v="672"/>
    <x v="6"/>
    <n v="246408.95999999999"/>
    <n v="28.125"/>
    <x v="0"/>
    <m/>
  </r>
  <r>
    <n v="0"/>
    <n v="0"/>
    <n v="0"/>
    <n v="0"/>
    <n v="0"/>
    <n v="0"/>
    <x v="2"/>
    <n v="0"/>
    <x v="1"/>
    <n v="0"/>
    <n v="0"/>
    <x v="0"/>
    <m/>
  </r>
  <r>
    <n v="1"/>
    <n v="28"/>
    <n v="600"/>
    <n v="1326"/>
    <n v="219"/>
    <n v="1545"/>
    <x v="2"/>
    <n v="588"/>
    <x v="7"/>
    <n v="107803.92"/>
    <n v="21.428571428571427"/>
    <x v="0"/>
    <m/>
  </r>
  <r>
    <n v="2"/>
    <n v="22"/>
    <n v="450"/>
    <n v="3106"/>
    <n v="369"/>
    <n v="3475"/>
    <x v="2"/>
    <n v="462"/>
    <x v="8"/>
    <n v="169406.16"/>
    <n v="20.454545454545453"/>
    <x v="0"/>
    <m/>
  </r>
  <r>
    <n v="0"/>
    <n v="0"/>
    <n v="0"/>
    <n v="0"/>
    <n v="0"/>
    <n v="0"/>
    <x v="2"/>
    <n v="0"/>
    <x v="1"/>
    <n v="0"/>
    <n v="0"/>
    <x v="0"/>
    <m/>
  </r>
  <r>
    <n v="2"/>
    <n v="28"/>
    <n v="600"/>
    <n v="3106"/>
    <n v="369"/>
    <n v="3475"/>
    <x v="3"/>
    <n v="588"/>
    <x v="9"/>
    <n v="215607.84"/>
    <n v="21.428571428571427"/>
    <x v="0"/>
    <m/>
  </r>
  <r>
    <n v="2"/>
    <n v="22"/>
    <n v="870"/>
    <n v="3106"/>
    <n v="369"/>
    <n v="3475"/>
    <x v="3"/>
    <n v="462"/>
    <x v="8"/>
    <n v="169406.16"/>
    <n v="39.545454545454547"/>
    <x v="0"/>
    <m/>
  </r>
  <r>
    <n v="3"/>
    <n v="24"/>
    <n v="1000"/>
    <n v="5482"/>
    <n v="575"/>
    <n v="6057"/>
    <x v="3"/>
    <n v="504"/>
    <x v="5"/>
    <n v="277210.08"/>
    <n v="41.666666666666664"/>
    <x v="0"/>
    <m/>
  </r>
  <r>
    <n v="1"/>
    <n v="29"/>
    <n v="600"/>
    <n v="1326"/>
    <n v="219"/>
    <n v="1545"/>
    <x v="3"/>
    <n v="609"/>
    <x v="10"/>
    <n v="111654.06"/>
    <n v="20.689655172413794"/>
    <x v="0"/>
    <m/>
  </r>
  <r>
    <n v="0"/>
    <n v="0"/>
    <n v="0"/>
    <n v="0"/>
    <n v="0"/>
    <n v="0"/>
    <x v="4"/>
    <n v="0"/>
    <x v="1"/>
    <n v="0"/>
    <n v="0"/>
    <x v="0"/>
    <m/>
  </r>
  <r>
    <n v="3"/>
    <n v="26"/>
    <n v="870"/>
    <n v="5482"/>
    <n v="575"/>
    <n v="6057"/>
    <x v="4"/>
    <n v="546"/>
    <x v="11"/>
    <n v="300310.92"/>
    <n v="33.46153846153846"/>
    <x v="0"/>
    <m/>
  </r>
  <r>
    <n v="2"/>
    <n v="26"/>
    <n v="1050"/>
    <n v="3106"/>
    <n v="369"/>
    <n v="3475"/>
    <x v="4"/>
    <n v="546"/>
    <x v="3"/>
    <n v="200207.28"/>
    <n v="40.384615384615387"/>
    <x v="0"/>
    <m/>
  </r>
  <r>
    <n v="4"/>
    <n v="43"/>
    <n v="1000"/>
    <n v="7000"/>
    <n v="700"/>
    <n v="7700"/>
    <x v="4"/>
    <n v="903"/>
    <x v="12"/>
    <n v="662224.07999999996"/>
    <n v="23.255813953488371"/>
    <x v="0"/>
    <m/>
  </r>
  <r>
    <n v="1"/>
    <n v="28"/>
    <n v="600"/>
    <n v="1326"/>
    <n v="219"/>
    <n v="1545"/>
    <x v="5"/>
    <n v="588"/>
    <x v="7"/>
    <n v="107803.92"/>
    <n v="21.428571428571427"/>
    <x v="0"/>
    <m/>
  </r>
  <r>
    <n v="1"/>
    <n v="19"/>
    <n v="400"/>
    <n v="1326"/>
    <n v="219"/>
    <n v="1545"/>
    <x v="5"/>
    <n v="399"/>
    <x v="13"/>
    <n v="73152.66"/>
    <n v="21.05263157894737"/>
    <x v="0"/>
    <m/>
  </r>
  <r>
    <n v="2"/>
    <n v="16"/>
    <n v="870"/>
    <n v="3106"/>
    <n v="369"/>
    <n v="3475"/>
    <x v="5"/>
    <n v="336"/>
    <x v="14"/>
    <n v="123204.48"/>
    <n v="54.375"/>
    <x v="0"/>
    <m/>
  </r>
  <r>
    <n v="1"/>
    <n v="20"/>
    <n v="600"/>
    <n v="1326"/>
    <n v="219"/>
    <n v="1545"/>
    <x v="5"/>
    <n v="420"/>
    <x v="2"/>
    <n v="77002.8"/>
    <n v="30"/>
    <x v="0"/>
    <m/>
  </r>
  <r>
    <n v="2"/>
    <n v="12"/>
    <n v="870"/>
    <n v="3106"/>
    <n v="369"/>
    <n v="3475"/>
    <x v="6"/>
    <n v="252"/>
    <x v="15"/>
    <n v="92403.36"/>
    <n v="72.5"/>
    <x v="0"/>
    <m/>
  </r>
  <r>
    <n v="0"/>
    <n v="0"/>
    <n v="0"/>
    <n v="0"/>
    <n v="0"/>
    <n v="0"/>
    <x v="6"/>
    <n v="0"/>
    <x v="1"/>
    <n v="0"/>
    <n v="0"/>
    <x v="0"/>
    <m/>
  </r>
  <r>
    <n v="1"/>
    <n v="33"/>
    <n v="600"/>
    <n v="1326"/>
    <n v="219"/>
    <n v="1545"/>
    <x v="6"/>
    <n v="693"/>
    <x v="16"/>
    <n v="126437.85"/>
    <n v="18.181818181818183"/>
    <x v="0"/>
    <m/>
  </r>
  <r>
    <n v="1"/>
    <n v="31"/>
    <n v="670"/>
    <n v="1326"/>
    <n v="219"/>
    <n v="1545"/>
    <x v="6"/>
    <n v="651"/>
    <x v="17"/>
    <n v="119354.34"/>
    <n v="21.612903225806452"/>
    <x v="0"/>
    <m/>
  </r>
  <r>
    <n v="0"/>
    <n v="0"/>
    <n v="0"/>
    <n v="0"/>
    <n v="0"/>
    <n v="0"/>
    <x v="7"/>
    <n v="0"/>
    <x v="1"/>
    <n v="0"/>
    <n v="0"/>
    <x v="0"/>
    <m/>
  </r>
  <r>
    <n v="1"/>
    <n v="19"/>
    <n v="600"/>
    <n v="1326"/>
    <n v="219"/>
    <n v="1545"/>
    <x v="7"/>
    <n v="399"/>
    <x v="13"/>
    <n v="73152.66"/>
    <n v="31.578947368421051"/>
    <x v="0"/>
    <m/>
  </r>
  <r>
    <n v="1"/>
    <n v="29"/>
    <n v="600"/>
    <n v="1326"/>
    <n v="219"/>
    <n v="1545"/>
    <x v="7"/>
    <n v="609"/>
    <x v="10"/>
    <n v="111654.06"/>
    <n v="20.689655172413794"/>
    <x v="0"/>
    <m/>
  </r>
  <r>
    <n v="1"/>
    <n v="18"/>
    <n v="600"/>
    <n v="1326"/>
    <n v="219"/>
    <n v="1545"/>
    <x v="7"/>
    <n v="378"/>
    <x v="18"/>
    <n v="69302.52"/>
    <n v="33.333333333333336"/>
    <x v="0"/>
    <m/>
  </r>
  <r>
    <n v="1"/>
    <n v="18"/>
    <n v="600"/>
    <n v="1326"/>
    <n v="219"/>
    <n v="1545"/>
    <x v="8"/>
    <n v="378"/>
    <x v="18"/>
    <n v="69302.52"/>
    <n v="33.333333333333336"/>
    <x v="0"/>
    <m/>
  </r>
  <r>
    <n v="1"/>
    <n v="16"/>
    <n v="600"/>
    <n v="1326"/>
    <n v="219"/>
    <n v="1545"/>
    <x v="8"/>
    <n v="336"/>
    <x v="19"/>
    <n v="61602.239999999998"/>
    <n v="37.5"/>
    <x v="0"/>
    <m/>
  </r>
  <r>
    <n v="2"/>
    <n v="9"/>
    <n v="870"/>
    <n v="3106"/>
    <n v="369"/>
    <n v="3475"/>
    <x v="0"/>
    <n v="189"/>
    <x v="18"/>
    <n v="69302.52"/>
    <n v="96.666666666666671"/>
    <x v="1"/>
    <m/>
  </r>
  <r>
    <n v="2"/>
    <n v="9"/>
    <n v="700"/>
    <n v="3106"/>
    <n v="369"/>
    <n v="3475"/>
    <x v="0"/>
    <n v="189"/>
    <x v="18"/>
    <n v="69302.52"/>
    <n v="77.777777777777771"/>
    <x v="1"/>
    <m/>
  </r>
  <r>
    <n v="2"/>
    <n v="9"/>
    <n v="500"/>
    <n v="3106"/>
    <n v="369"/>
    <n v="3475"/>
    <x v="0"/>
    <n v="189"/>
    <x v="18"/>
    <n v="69302.52"/>
    <n v="55.555555555555557"/>
    <x v="1"/>
    <m/>
  </r>
  <r>
    <n v="1"/>
    <n v="24"/>
    <n v="1029"/>
    <n v="1326"/>
    <n v="219"/>
    <n v="1545"/>
    <x v="0"/>
    <n v="504"/>
    <x v="15"/>
    <n v="92403.36"/>
    <n v="42.875"/>
    <x v="1"/>
    <m/>
  </r>
  <r>
    <n v="2"/>
    <n v="23"/>
    <n v="1130"/>
    <n v="3106"/>
    <n v="369"/>
    <n v="3475"/>
    <x v="1"/>
    <n v="483"/>
    <x v="20"/>
    <n v="177106.44"/>
    <n v="49.130434782608695"/>
    <x v="1"/>
    <m/>
  </r>
  <r>
    <n v="1"/>
    <n v="22"/>
    <n v="500"/>
    <n v="1326"/>
    <n v="219"/>
    <n v="1545"/>
    <x v="1"/>
    <n v="462"/>
    <x v="21"/>
    <n v="84703.08"/>
    <n v="22.727272727272727"/>
    <x v="1"/>
    <m/>
  </r>
  <r>
    <n v="2"/>
    <n v="26"/>
    <n v="1273"/>
    <n v="3106"/>
    <n v="369"/>
    <n v="3475"/>
    <x v="1"/>
    <n v="546"/>
    <x v="3"/>
    <n v="200207.28"/>
    <n v="48.96153846153846"/>
    <x v="1"/>
    <m/>
  </r>
  <r>
    <n v="2"/>
    <n v="34"/>
    <n v="650"/>
    <n v="3106"/>
    <n v="369"/>
    <n v="3475"/>
    <x v="1"/>
    <n v="714"/>
    <x v="22"/>
    <n v="261809.52"/>
    <n v="19.117647058823529"/>
    <x v="1"/>
    <m/>
  </r>
  <r>
    <n v="1"/>
    <n v="22"/>
    <n v="600"/>
    <n v="1326"/>
    <n v="219"/>
    <n v="1545"/>
    <x v="2"/>
    <n v="462"/>
    <x v="21"/>
    <n v="84703.08"/>
    <n v="27.272727272727273"/>
    <x v="1"/>
    <m/>
  </r>
  <r>
    <n v="1"/>
    <n v="23"/>
    <n v="600"/>
    <n v="1326"/>
    <n v="219"/>
    <n v="1545"/>
    <x v="2"/>
    <n v="483"/>
    <x v="4"/>
    <n v="88553.22"/>
    <n v="26.086956521739129"/>
    <x v="1"/>
    <m/>
  </r>
  <r>
    <n v="2"/>
    <n v="21"/>
    <n v="350"/>
    <n v="3106"/>
    <n v="369"/>
    <n v="3475"/>
    <x v="2"/>
    <n v="441"/>
    <x v="23"/>
    <n v="161705.88"/>
    <n v="16.666666666666668"/>
    <x v="1"/>
    <m/>
  </r>
  <r>
    <n v="1"/>
    <n v="26"/>
    <n v="600"/>
    <n v="1326"/>
    <n v="219"/>
    <n v="1545"/>
    <x v="2"/>
    <n v="546"/>
    <x v="24"/>
    <n v="100103.64"/>
    <n v="23.076923076923077"/>
    <x v="1"/>
    <m/>
  </r>
  <r>
    <n v="1"/>
    <n v="24"/>
    <n v="600"/>
    <n v="1326"/>
    <n v="219"/>
    <n v="1545"/>
    <x v="3"/>
    <n v="504"/>
    <x v="15"/>
    <n v="92403.36"/>
    <n v="25"/>
    <x v="1"/>
    <m/>
  </r>
  <r>
    <n v="2"/>
    <n v="23"/>
    <n v="780"/>
    <n v="3106"/>
    <n v="369"/>
    <n v="3475"/>
    <x v="3"/>
    <n v="483"/>
    <x v="20"/>
    <n v="177106.44"/>
    <n v="33.913043478260867"/>
    <x v="1"/>
    <m/>
  </r>
  <r>
    <n v="2"/>
    <n v="16"/>
    <n v="870"/>
    <n v="3106"/>
    <n v="369"/>
    <n v="3475"/>
    <x v="3"/>
    <n v="336"/>
    <x v="14"/>
    <n v="123204.48"/>
    <n v="54.375"/>
    <x v="1"/>
    <m/>
  </r>
  <r>
    <n v="2"/>
    <n v="18"/>
    <n v="730"/>
    <n v="3106"/>
    <n v="369"/>
    <n v="3475"/>
    <x v="4"/>
    <n v="378"/>
    <x v="25"/>
    <n v="138605.04"/>
    <n v="40.555555555555557"/>
    <x v="1"/>
    <m/>
  </r>
  <r>
    <n v="2"/>
    <n v="21"/>
    <n v="1100"/>
    <n v="3106"/>
    <n v="369"/>
    <n v="3475"/>
    <x v="4"/>
    <n v="441"/>
    <x v="23"/>
    <n v="161705.88"/>
    <n v="52.38095238095238"/>
    <x v="1"/>
    <m/>
  </r>
  <r>
    <n v="2"/>
    <n v="22"/>
    <n v="1100"/>
    <n v="3106"/>
    <n v="369"/>
    <n v="3475"/>
    <x v="4"/>
    <n v="462"/>
    <x v="8"/>
    <n v="169406.16"/>
    <n v="50"/>
    <x v="1"/>
    <m/>
  </r>
  <r>
    <n v="1"/>
    <n v="19"/>
    <n v="880"/>
    <n v="1326"/>
    <n v="219"/>
    <n v="1545"/>
    <x v="5"/>
    <n v="399"/>
    <x v="13"/>
    <n v="73152.66"/>
    <n v="46.315789473684212"/>
    <x v="1"/>
    <m/>
  </r>
  <r>
    <n v="1"/>
    <n v="17"/>
    <n v="800"/>
    <n v="1326"/>
    <n v="219"/>
    <n v="1545"/>
    <x v="5"/>
    <n v="357"/>
    <x v="26"/>
    <n v="65452.38"/>
    <n v="47.058823529411768"/>
    <x v="1"/>
    <m/>
  </r>
  <r>
    <n v="2"/>
    <n v="23"/>
    <n v="870"/>
    <n v="3106"/>
    <n v="369"/>
    <n v="3475"/>
    <x v="5"/>
    <n v="483"/>
    <x v="20"/>
    <n v="177106.44"/>
    <n v="37.826086956521742"/>
    <x v="1"/>
    <m/>
  </r>
  <r>
    <n v="1"/>
    <n v="28"/>
    <n v="600"/>
    <n v="1326"/>
    <n v="219"/>
    <n v="1545"/>
    <x v="5"/>
    <n v="588"/>
    <x v="7"/>
    <n v="107803.92"/>
    <n v="21.428571428571427"/>
    <x v="1"/>
    <m/>
  </r>
  <r>
    <n v="2"/>
    <n v="25"/>
    <n v="870"/>
    <n v="3106"/>
    <n v="369"/>
    <n v="3475"/>
    <x v="6"/>
    <n v="525"/>
    <x v="27"/>
    <n v="192507"/>
    <n v="34.799999999999997"/>
    <x v="1"/>
    <m/>
  </r>
  <r>
    <n v="2"/>
    <n v="21"/>
    <n v="770"/>
    <n v="3106"/>
    <n v="369"/>
    <n v="3475"/>
    <x v="6"/>
    <n v="441"/>
    <x v="23"/>
    <n v="161705.88"/>
    <n v="36.666666666666664"/>
    <x v="1"/>
    <m/>
  </r>
  <r>
    <n v="1"/>
    <n v="18"/>
    <n v="480"/>
    <n v="1326"/>
    <n v="219"/>
    <n v="1545"/>
    <x v="6"/>
    <n v="378"/>
    <x v="18"/>
    <n v="69302.52"/>
    <n v="26.666666666666668"/>
    <x v="2"/>
    <m/>
  </r>
  <r>
    <n v="1"/>
    <n v="21"/>
    <n v="1000"/>
    <n v="1326"/>
    <n v="219"/>
    <n v="1545"/>
    <x v="0"/>
    <n v="441"/>
    <x v="28"/>
    <n v="80852.94"/>
    <n v="47.61904761904762"/>
    <x v="2"/>
    <m/>
  </r>
  <r>
    <n v="1"/>
    <n v="23"/>
    <n v="600"/>
    <n v="1326"/>
    <n v="219"/>
    <n v="1545"/>
    <x v="0"/>
    <n v="483"/>
    <x v="4"/>
    <n v="88553.22"/>
    <n v="26.086956521739129"/>
    <x v="2"/>
    <m/>
  </r>
  <r>
    <n v="3"/>
    <n v="22"/>
    <n v="0"/>
    <n v="5482"/>
    <n v="575"/>
    <n v="6057"/>
    <x v="0"/>
    <n v="462"/>
    <x v="29"/>
    <n v="254109.24"/>
    <n v="0"/>
    <x v="2"/>
    <m/>
  </r>
  <r>
    <n v="1"/>
    <n v="15"/>
    <n v="0"/>
    <n v="1326"/>
    <n v="219"/>
    <n v="1545"/>
    <x v="0"/>
    <n v="315"/>
    <x v="30"/>
    <n v="57752.1"/>
    <n v="0"/>
    <x v="2"/>
    <m/>
  </r>
  <r>
    <n v="1"/>
    <n v="18"/>
    <n v="600"/>
    <n v="1326"/>
    <n v="219"/>
    <n v="1545"/>
    <x v="1"/>
    <n v="378"/>
    <x v="18"/>
    <n v="69302.52"/>
    <n v="33.333333333333336"/>
    <x v="2"/>
    <m/>
  </r>
  <r>
    <n v="1"/>
    <n v="20"/>
    <n v="500"/>
    <n v="1326"/>
    <n v="219"/>
    <n v="1545"/>
    <x v="1"/>
    <n v="420"/>
    <x v="2"/>
    <n v="77002.8"/>
    <n v="25"/>
    <x v="2"/>
    <m/>
  </r>
  <r>
    <n v="1"/>
    <n v="25"/>
    <n v="600"/>
    <n v="1326"/>
    <n v="219"/>
    <n v="1545"/>
    <x v="1"/>
    <n v="525"/>
    <x v="31"/>
    <n v="96253.5"/>
    <n v="24"/>
    <x v="2"/>
    <m/>
  </r>
  <r>
    <n v="1"/>
    <n v="25"/>
    <n v="711.25"/>
    <n v="1326"/>
    <n v="219"/>
    <n v="1545"/>
    <x v="1"/>
    <n v="525"/>
    <x v="31"/>
    <n v="96253.5"/>
    <n v="28.45"/>
    <x v="2"/>
    <m/>
  </r>
  <r>
    <n v="2"/>
    <n v="20"/>
    <n v="750"/>
    <n v="3106"/>
    <n v="369"/>
    <n v="3475"/>
    <x v="2"/>
    <n v="420"/>
    <x v="32"/>
    <n v="154005.6"/>
    <n v="37.5"/>
    <x v="2"/>
    <m/>
  </r>
  <r>
    <n v="1"/>
    <n v="20"/>
    <n v="870"/>
    <n v="1326"/>
    <n v="219"/>
    <n v="1545"/>
    <x v="2"/>
    <n v="420"/>
    <x v="2"/>
    <n v="77002.8"/>
    <n v="43.5"/>
    <x v="2"/>
    <m/>
  </r>
  <r>
    <n v="1"/>
    <n v="20"/>
    <n v="500"/>
    <n v="1326"/>
    <n v="219"/>
    <n v="1545"/>
    <x v="2"/>
    <n v="420"/>
    <x v="2"/>
    <n v="77002.8"/>
    <n v="25"/>
    <x v="2"/>
    <m/>
  </r>
  <r>
    <n v="1"/>
    <n v="14"/>
    <n v="270"/>
    <n v="1326"/>
    <n v="219"/>
    <n v="1545"/>
    <x v="2"/>
    <n v="294"/>
    <x v="33"/>
    <n v="53901.96"/>
    <n v="19.285714285714285"/>
    <x v="2"/>
    <m/>
  </r>
  <r>
    <n v="2"/>
    <n v="22"/>
    <n v="870"/>
    <n v="3106"/>
    <n v="369"/>
    <n v="3475"/>
    <x v="2"/>
    <n v="462"/>
    <x v="8"/>
    <n v="169406.16"/>
    <n v="39.545454545454547"/>
    <x v="2"/>
    <m/>
  </r>
  <r>
    <n v="2"/>
    <n v="20"/>
    <n v="870"/>
    <n v="3106"/>
    <n v="369"/>
    <n v="3475"/>
    <x v="3"/>
    <n v="420"/>
    <x v="32"/>
    <n v="154005.6"/>
    <n v="43.5"/>
    <x v="2"/>
    <m/>
  </r>
  <r>
    <n v="2"/>
    <n v="27"/>
    <n v="750"/>
    <n v="3106"/>
    <n v="369"/>
    <n v="3475"/>
    <x v="3"/>
    <n v="567"/>
    <x v="34"/>
    <n v="207907.56"/>
    <n v="27.777777777777779"/>
    <x v="2"/>
    <m/>
  </r>
  <r>
    <n v="1"/>
    <n v="18"/>
    <n v="600"/>
    <n v="1326"/>
    <n v="219"/>
    <n v="1545"/>
    <x v="3"/>
    <n v="378"/>
    <x v="18"/>
    <n v="69302.52"/>
    <n v="33.333333333333336"/>
    <x v="2"/>
    <m/>
  </r>
  <r>
    <n v="2"/>
    <n v="24"/>
    <n v="750"/>
    <n v="3106"/>
    <n v="369"/>
    <n v="3475"/>
    <x v="4"/>
    <n v="504"/>
    <x v="35"/>
    <n v="184806.72"/>
    <n v="31.25"/>
    <x v="2"/>
    <m/>
  </r>
  <r>
    <n v="2"/>
    <n v="20"/>
    <n v="0"/>
    <n v="3106"/>
    <n v="369"/>
    <n v="3475"/>
    <x v="4"/>
    <n v="420"/>
    <x v="32"/>
    <n v="154005.6"/>
    <n v="0"/>
    <x v="2"/>
    <m/>
  </r>
  <r>
    <n v="4"/>
    <n v="42"/>
    <n v="1050"/>
    <n v="7000"/>
    <n v="700"/>
    <n v="7700"/>
    <x v="4"/>
    <n v="882"/>
    <x v="36"/>
    <n v="646823.52"/>
    <n v="25"/>
    <x v="2"/>
    <m/>
  </r>
  <r>
    <n v="5"/>
    <n v="70"/>
    <n v="0"/>
    <n v="10000"/>
    <n v="1100"/>
    <n v="11100"/>
    <x v="4"/>
    <n v="1470"/>
    <x v="37"/>
    <n v="1347549"/>
    <n v="0"/>
    <x v="2"/>
    <m/>
  </r>
  <r>
    <n v="1"/>
    <n v="26"/>
    <n v="600"/>
    <n v="1326"/>
    <n v="219"/>
    <n v="1545"/>
    <x v="4"/>
    <n v="546"/>
    <x v="24"/>
    <n v="100103.64"/>
    <n v="23.076923076923077"/>
    <x v="2"/>
    <m/>
  </r>
  <r>
    <n v="1"/>
    <n v="22"/>
    <n v="600"/>
    <n v="1326"/>
    <n v="219"/>
    <n v="1545"/>
    <x v="5"/>
    <n v="462"/>
    <x v="21"/>
    <n v="84703.08"/>
    <n v="27.272727272727273"/>
    <x v="2"/>
    <m/>
  </r>
  <r>
    <n v="1"/>
    <n v="20"/>
    <n v="1200"/>
    <n v="1326"/>
    <n v="219"/>
    <n v="1545"/>
    <x v="5"/>
    <n v="420"/>
    <x v="2"/>
    <n v="77002.8"/>
    <n v="60"/>
    <x v="2"/>
    <m/>
  </r>
  <r>
    <n v="2"/>
    <n v="21"/>
    <n v="770"/>
    <n v="3106"/>
    <n v="369"/>
    <n v="3475"/>
    <x v="5"/>
    <n v="441"/>
    <x v="23"/>
    <n v="161705.88"/>
    <n v="36.666666666666664"/>
    <x v="2"/>
    <m/>
  </r>
  <r>
    <n v="1"/>
    <n v="31"/>
    <n v="0"/>
    <n v="1326"/>
    <n v="219"/>
    <n v="1545"/>
    <x v="5"/>
    <n v="651"/>
    <x v="17"/>
    <n v="119354.34"/>
    <n v="0"/>
    <x v="2"/>
    <m/>
  </r>
  <r>
    <n v="2"/>
    <n v="16"/>
    <n v="870"/>
    <n v="3106"/>
    <n v="369"/>
    <n v="3475"/>
    <x v="6"/>
    <n v="336"/>
    <x v="14"/>
    <n v="123204.48"/>
    <n v="54.375"/>
    <x v="2"/>
    <m/>
  </r>
  <r>
    <n v="2"/>
    <n v="22"/>
    <n v="0"/>
    <n v="3106"/>
    <n v="369"/>
    <n v="3475"/>
    <x v="6"/>
    <n v="462"/>
    <x v="8"/>
    <n v="169406.16"/>
    <n v="0"/>
    <x v="2"/>
    <m/>
  </r>
  <r>
    <n v="2"/>
    <n v="28"/>
    <n v="750"/>
    <n v="3106"/>
    <n v="369"/>
    <n v="3475"/>
    <x v="6"/>
    <n v="588"/>
    <x v="9"/>
    <n v="215607.84"/>
    <n v="26.785714285714285"/>
    <x v="2"/>
    <m/>
  </r>
  <r>
    <n v="1"/>
    <n v="26"/>
    <n v="600"/>
    <n v="1326"/>
    <n v="219"/>
    <n v="1545"/>
    <x v="6"/>
    <n v="546"/>
    <x v="24"/>
    <n v="100103.64"/>
    <n v="23.076923076923077"/>
    <x v="2"/>
    <m/>
  </r>
  <r>
    <n v="1"/>
    <n v="26"/>
    <n v="0"/>
    <n v="1326"/>
    <n v="219"/>
    <n v="1545"/>
    <x v="7"/>
    <n v="546"/>
    <x v="24"/>
    <n v="100103.64"/>
    <n v="0"/>
    <x v="2"/>
    <m/>
  </r>
  <r>
    <n v="1"/>
    <n v="26"/>
    <n v="600"/>
    <n v="1326"/>
    <n v="219"/>
    <n v="1545"/>
    <x v="7"/>
    <n v="546"/>
    <x v="24"/>
    <n v="100103.64"/>
    <n v="23.076923076923077"/>
    <x v="2"/>
    <m/>
  </r>
  <r>
    <n v="1"/>
    <n v="23"/>
    <n v="600"/>
    <n v="1326"/>
    <n v="219"/>
    <n v="1545"/>
    <x v="7"/>
    <n v="483"/>
    <x v="4"/>
    <n v="88553.22"/>
    <n v="26.086956521739129"/>
    <x v="2"/>
    <m/>
  </r>
  <r>
    <n v="1"/>
    <n v="20"/>
    <n v="600"/>
    <n v="1326"/>
    <n v="219"/>
    <n v="1545"/>
    <x v="8"/>
    <n v="420"/>
    <x v="2"/>
    <n v="77002.8"/>
    <n v="30"/>
    <x v="2"/>
    <m/>
  </r>
  <r>
    <n v="3"/>
    <n v="15"/>
    <n v="0"/>
    <n v="5482"/>
    <n v="575"/>
    <n v="6057"/>
    <x v="9"/>
    <n v="315"/>
    <x v="38"/>
    <n v="173256.3"/>
    <n v="0"/>
    <x v="2"/>
    <m/>
  </r>
  <r>
    <n v="2"/>
    <n v="21"/>
    <n v="750"/>
    <n v="3106"/>
    <n v="369"/>
    <n v="3475"/>
    <x v="7"/>
    <n v="441"/>
    <x v="23"/>
    <n v="161705.88"/>
    <n v="35.714285714285715"/>
    <x v="1"/>
    <m/>
  </r>
  <r>
    <n v="1"/>
    <n v="23"/>
    <n v="600"/>
    <n v="1326"/>
    <n v="219"/>
    <n v="1545"/>
    <x v="7"/>
    <n v="483"/>
    <x v="4"/>
    <n v="88553.22"/>
    <n v="26.086956521739129"/>
    <x v="1"/>
    <m/>
  </r>
  <r>
    <n v="1"/>
    <n v="29"/>
    <n v="600"/>
    <n v="1326"/>
    <n v="219"/>
    <n v="1545"/>
    <x v="7"/>
    <n v="609"/>
    <x v="10"/>
    <n v="111654.06"/>
    <n v="20.689655172413794"/>
    <x v="1"/>
    <m/>
  </r>
  <r>
    <n v="1"/>
    <n v="21"/>
    <n v="480"/>
    <n v="1326"/>
    <n v="219"/>
    <n v="1545"/>
    <x v="7"/>
    <n v="441"/>
    <x v="28"/>
    <n v="80852.94"/>
    <n v="22.857142857142858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"/>
    <n v="29"/>
    <n v="820"/>
    <n v="3106"/>
    <n v="369"/>
    <n v="3475"/>
    <s v="March"/>
    <n v="609"/>
    <n v="250908"/>
    <n v="223308.12"/>
    <n v="28.275862068965516"/>
    <n v="2022"/>
    <m/>
    <n v="4978533"/>
    <x v="0"/>
    <n v="4356116.8043399993"/>
    <n v="5082136.2717299992"/>
  </r>
  <r>
    <n v="0"/>
    <n v="0"/>
    <n v="0"/>
    <n v="0"/>
    <n v="0"/>
    <n v="0"/>
    <s v="March"/>
    <n v="0"/>
    <n v="0"/>
    <n v="0"/>
    <n v="0"/>
    <n v="2022"/>
    <m/>
    <n v="3560298"/>
    <x v="1"/>
    <n v="3115189.5440399996"/>
    <n v="3634387.8013799991"/>
  </r>
  <r>
    <n v="0"/>
    <n v="0"/>
    <n v="0"/>
    <n v="0"/>
    <n v="0"/>
    <n v="0"/>
    <s v="March"/>
    <n v="0"/>
    <n v="0"/>
    <n v="0"/>
    <n v="0"/>
    <n v="2022"/>
    <m/>
    <n v="6523608"/>
    <x v="2"/>
    <n v="5708026.5278399996"/>
    <n v="6659364.2824799996"/>
  </r>
  <r>
    <n v="1"/>
    <n v="20"/>
    <n v="600"/>
    <n v="1326"/>
    <n v="219"/>
    <n v="1545"/>
    <s v="March"/>
    <n v="420"/>
    <n v="86520"/>
    <n v="77002.8"/>
    <n v="30"/>
    <n v="2022"/>
    <m/>
    <m/>
    <x v="3"/>
    <m/>
    <m/>
  </r>
  <r>
    <n v="2"/>
    <n v="26"/>
    <n v="900"/>
    <n v="3106"/>
    <n v="369"/>
    <n v="3475"/>
    <s v="April"/>
    <n v="546"/>
    <n v="224952"/>
    <n v="200207.28"/>
    <n v="34.615384615384613"/>
    <n v="2022"/>
    <m/>
    <m/>
    <x v="3"/>
    <m/>
    <m/>
  </r>
  <r>
    <n v="0"/>
    <n v="0"/>
    <n v="0"/>
    <n v="0"/>
    <n v="0"/>
    <n v="0"/>
    <s v="April"/>
    <n v="0"/>
    <n v="0"/>
    <n v="0"/>
    <n v="0"/>
    <n v="2022"/>
    <m/>
    <m/>
    <x v="3"/>
    <m/>
    <m/>
  </r>
  <r>
    <n v="1"/>
    <n v="23"/>
    <n v="600"/>
    <n v="1326"/>
    <n v="219"/>
    <n v="1545"/>
    <s v="April"/>
    <n v="483"/>
    <n v="99498"/>
    <n v="88553.22"/>
    <n v="26.086956521739129"/>
    <n v="2022"/>
    <m/>
    <m/>
    <x v="3"/>
    <m/>
    <m/>
  </r>
  <r>
    <n v="2"/>
    <n v="36"/>
    <n v="870"/>
    <n v="3106"/>
    <n v="369"/>
    <n v="3475"/>
    <s v="April"/>
    <n v="756"/>
    <n v="311472"/>
    <n v="277210.08"/>
    <n v="24.166666666666668"/>
    <n v="2022"/>
    <m/>
    <m/>
    <x v="3"/>
    <m/>
    <m/>
  </r>
  <r>
    <n v="2"/>
    <n v="32"/>
    <n v="900"/>
    <n v="3106"/>
    <n v="369"/>
    <n v="3475"/>
    <s v="April"/>
    <n v="672"/>
    <n v="276864"/>
    <n v="246408.95999999999"/>
    <n v="28.125"/>
    <n v="2022"/>
    <m/>
    <m/>
    <x v="3"/>
    <m/>
    <m/>
  </r>
  <r>
    <n v="0"/>
    <n v="0"/>
    <n v="0"/>
    <n v="0"/>
    <n v="0"/>
    <n v="0"/>
    <s v="May"/>
    <n v="0"/>
    <n v="0"/>
    <n v="0"/>
    <n v="0"/>
    <n v="2022"/>
    <m/>
    <m/>
    <x v="3"/>
    <m/>
    <m/>
  </r>
  <r>
    <n v="1"/>
    <n v="28"/>
    <n v="600"/>
    <n v="1326"/>
    <n v="219"/>
    <n v="1545"/>
    <s v="May"/>
    <n v="588"/>
    <n v="121128"/>
    <n v="107803.92"/>
    <n v="21.428571428571427"/>
    <n v="2022"/>
    <m/>
    <m/>
    <x v="3"/>
    <m/>
    <m/>
  </r>
  <r>
    <n v="2"/>
    <n v="22"/>
    <n v="450"/>
    <n v="3106"/>
    <n v="369"/>
    <n v="3475"/>
    <s v="May"/>
    <n v="462"/>
    <n v="190344"/>
    <n v="169406.16"/>
    <n v="20.454545454545453"/>
    <n v="2022"/>
    <m/>
    <m/>
    <x v="3"/>
    <m/>
    <m/>
  </r>
  <r>
    <n v="0"/>
    <n v="0"/>
    <n v="0"/>
    <n v="0"/>
    <n v="0"/>
    <n v="0"/>
    <s v="May"/>
    <n v="0"/>
    <n v="0"/>
    <n v="0"/>
    <n v="0"/>
    <n v="2022"/>
    <m/>
    <m/>
    <x v="3"/>
    <m/>
    <m/>
  </r>
  <r>
    <n v="2"/>
    <n v="28"/>
    <n v="600"/>
    <n v="3106"/>
    <n v="369"/>
    <n v="3475"/>
    <s v="June"/>
    <n v="588"/>
    <n v="242256"/>
    <n v="215607.84"/>
    <n v="21.428571428571427"/>
    <n v="2022"/>
    <m/>
    <m/>
    <x v="3"/>
    <m/>
    <m/>
  </r>
  <r>
    <n v="2"/>
    <n v="22"/>
    <n v="870"/>
    <n v="3106"/>
    <n v="369"/>
    <n v="3475"/>
    <s v="June"/>
    <n v="462"/>
    <n v="190344"/>
    <n v="169406.16"/>
    <n v="39.545454545454547"/>
    <n v="2022"/>
    <m/>
    <m/>
    <x v="3"/>
    <m/>
    <m/>
  </r>
  <r>
    <n v="3"/>
    <n v="24"/>
    <n v="1000"/>
    <n v="5482"/>
    <n v="575"/>
    <n v="6057"/>
    <s v="June"/>
    <n v="504"/>
    <n v="311472"/>
    <n v="277210.08"/>
    <n v="41.666666666666664"/>
    <n v="2022"/>
    <m/>
    <m/>
    <x v="3"/>
    <m/>
    <m/>
  </r>
  <r>
    <n v="1"/>
    <n v="29"/>
    <n v="600"/>
    <n v="1326"/>
    <n v="219"/>
    <n v="1545"/>
    <s v="June"/>
    <n v="609"/>
    <n v="125454"/>
    <n v="111654.06"/>
    <n v="20.689655172413794"/>
    <n v="2022"/>
    <m/>
    <m/>
    <x v="3"/>
    <m/>
    <m/>
  </r>
  <r>
    <n v="0"/>
    <n v="0"/>
    <n v="0"/>
    <n v="0"/>
    <n v="0"/>
    <n v="0"/>
    <s v="July"/>
    <n v="0"/>
    <n v="0"/>
    <n v="0"/>
    <n v="0"/>
    <n v="2022"/>
    <m/>
    <m/>
    <x v="3"/>
    <m/>
    <m/>
  </r>
  <r>
    <n v="3"/>
    <n v="26"/>
    <n v="870"/>
    <n v="5482"/>
    <n v="575"/>
    <n v="6057"/>
    <s v="July"/>
    <n v="546"/>
    <n v="337428"/>
    <n v="300310.92"/>
    <n v="33.46153846153846"/>
    <n v="2022"/>
    <m/>
    <m/>
    <x v="3"/>
    <m/>
    <m/>
  </r>
  <r>
    <n v="2"/>
    <n v="26"/>
    <n v="1050"/>
    <n v="3106"/>
    <n v="369"/>
    <n v="3475"/>
    <s v="July"/>
    <n v="546"/>
    <n v="224952"/>
    <n v="200207.28"/>
    <n v="40.384615384615387"/>
    <n v="2022"/>
    <m/>
    <m/>
    <x v="3"/>
    <m/>
    <m/>
  </r>
  <r>
    <n v="4"/>
    <n v="43"/>
    <n v="1000"/>
    <n v="7000"/>
    <n v="700"/>
    <n v="7700"/>
    <s v="July"/>
    <n v="903"/>
    <n v="744072"/>
    <n v="662224.07999999996"/>
    <n v="23.255813953488371"/>
    <n v="2022"/>
    <m/>
    <m/>
    <x v="3"/>
    <m/>
    <m/>
  </r>
  <r>
    <n v="1"/>
    <n v="28"/>
    <n v="600"/>
    <n v="1326"/>
    <n v="219"/>
    <n v="1545"/>
    <s v="August"/>
    <n v="588"/>
    <n v="121128"/>
    <n v="107803.92"/>
    <n v="21.428571428571427"/>
    <n v="2022"/>
    <m/>
    <m/>
    <x v="3"/>
    <m/>
    <m/>
  </r>
  <r>
    <n v="1"/>
    <n v="19"/>
    <n v="400"/>
    <n v="1326"/>
    <n v="219"/>
    <n v="1545"/>
    <s v="August"/>
    <n v="399"/>
    <n v="82194"/>
    <n v="73152.66"/>
    <n v="21.05263157894737"/>
    <n v="2022"/>
    <m/>
    <m/>
    <x v="3"/>
    <m/>
    <m/>
  </r>
  <r>
    <n v="2"/>
    <n v="16"/>
    <n v="870"/>
    <n v="3106"/>
    <n v="369"/>
    <n v="3475"/>
    <s v="August"/>
    <n v="336"/>
    <n v="138432"/>
    <n v="123204.48"/>
    <n v="54.375"/>
    <n v="2022"/>
    <m/>
    <m/>
    <x v="3"/>
    <m/>
    <m/>
  </r>
  <r>
    <n v="1"/>
    <n v="20"/>
    <n v="600"/>
    <n v="1326"/>
    <n v="219"/>
    <n v="1545"/>
    <s v="August"/>
    <n v="420"/>
    <n v="86520"/>
    <n v="77002.8"/>
    <n v="30"/>
    <n v="2022"/>
    <m/>
    <m/>
    <x v="3"/>
    <m/>
    <m/>
  </r>
  <r>
    <n v="2"/>
    <n v="12"/>
    <n v="870"/>
    <n v="3106"/>
    <n v="369"/>
    <n v="3475"/>
    <s v="September"/>
    <n v="252"/>
    <n v="103824"/>
    <n v="92403.36"/>
    <n v="72.5"/>
    <n v="2022"/>
    <m/>
    <m/>
    <x v="3"/>
    <m/>
    <m/>
  </r>
  <r>
    <n v="0"/>
    <n v="0"/>
    <n v="0"/>
    <n v="0"/>
    <n v="0"/>
    <n v="0"/>
    <s v="September"/>
    <n v="0"/>
    <n v="0"/>
    <n v="0"/>
    <n v="0"/>
    <n v="2022"/>
    <m/>
    <m/>
    <x v="3"/>
    <m/>
    <m/>
  </r>
  <r>
    <n v="1"/>
    <n v="33"/>
    <n v="600"/>
    <n v="1326"/>
    <n v="219"/>
    <n v="1545"/>
    <s v="September"/>
    <n v="693"/>
    <n v="142065"/>
    <n v="126437.85"/>
    <n v="18.181818181818183"/>
    <n v="2022"/>
    <m/>
    <m/>
    <x v="3"/>
    <m/>
    <m/>
  </r>
  <r>
    <n v="1"/>
    <n v="31"/>
    <n v="670"/>
    <n v="1326"/>
    <n v="219"/>
    <n v="1545"/>
    <s v="September"/>
    <n v="651"/>
    <n v="134106"/>
    <n v="119354.34"/>
    <n v="21.612903225806452"/>
    <n v="2022"/>
    <m/>
    <m/>
    <x v="3"/>
    <m/>
    <m/>
  </r>
  <r>
    <n v="0"/>
    <n v="0"/>
    <n v="0"/>
    <n v="0"/>
    <n v="0"/>
    <n v="0"/>
    <s v="October"/>
    <n v="0"/>
    <n v="0"/>
    <n v="0"/>
    <n v="0"/>
    <n v="2022"/>
    <m/>
    <m/>
    <x v="3"/>
    <m/>
    <m/>
  </r>
  <r>
    <n v="1"/>
    <n v="19"/>
    <n v="600"/>
    <n v="1326"/>
    <n v="219"/>
    <n v="1545"/>
    <s v="October"/>
    <n v="399"/>
    <n v="82194"/>
    <n v="73152.66"/>
    <n v="31.578947368421051"/>
    <n v="2022"/>
    <m/>
    <m/>
    <x v="3"/>
    <m/>
    <m/>
  </r>
  <r>
    <n v="1"/>
    <n v="29"/>
    <n v="600"/>
    <n v="1326"/>
    <n v="219"/>
    <n v="1545"/>
    <s v="October"/>
    <n v="609"/>
    <n v="125454"/>
    <n v="111654.06"/>
    <n v="20.689655172413794"/>
    <n v="2022"/>
    <m/>
    <m/>
    <x v="3"/>
    <m/>
    <m/>
  </r>
  <r>
    <n v="1"/>
    <n v="18"/>
    <n v="600"/>
    <n v="1326"/>
    <n v="219"/>
    <n v="1545"/>
    <s v="October"/>
    <n v="378"/>
    <n v="77868"/>
    <n v="69302.52"/>
    <n v="33.333333333333336"/>
    <n v="2022"/>
    <m/>
    <m/>
    <x v="3"/>
    <m/>
    <m/>
  </r>
  <r>
    <n v="1"/>
    <n v="18"/>
    <n v="600"/>
    <n v="1326"/>
    <n v="219"/>
    <n v="1545"/>
    <s v="November"/>
    <n v="378"/>
    <n v="77868"/>
    <n v="69302.52"/>
    <n v="33.333333333333336"/>
    <n v="2022"/>
    <m/>
    <m/>
    <x v="3"/>
    <m/>
    <m/>
  </r>
  <r>
    <n v="1"/>
    <n v="16"/>
    <n v="600"/>
    <n v="1326"/>
    <n v="219"/>
    <n v="1545"/>
    <s v="November"/>
    <n v="336"/>
    <n v="69216"/>
    <n v="61602.239999999998"/>
    <n v="37.5"/>
    <n v="2022"/>
    <m/>
    <m/>
    <x v="3"/>
    <m/>
    <m/>
  </r>
  <r>
    <n v="2"/>
    <n v="9"/>
    <n v="870"/>
    <n v="3106"/>
    <n v="369"/>
    <n v="3475"/>
    <s v="March"/>
    <n v="189"/>
    <n v="77868"/>
    <n v="69302.52"/>
    <n v="96.666666666666671"/>
    <n v="2023"/>
    <m/>
    <m/>
    <x v="3"/>
    <m/>
    <m/>
  </r>
  <r>
    <n v="2"/>
    <n v="9"/>
    <n v="700"/>
    <n v="3106"/>
    <n v="369"/>
    <n v="3475"/>
    <s v="March"/>
    <n v="189"/>
    <n v="77868"/>
    <n v="69302.52"/>
    <n v="77.777777777777771"/>
    <n v="2023"/>
    <m/>
    <m/>
    <x v="3"/>
    <m/>
    <m/>
  </r>
  <r>
    <n v="2"/>
    <n v="9"/>
    <n v="500"/>
    <n v="3106"/>
    <n v="369"/>
    <n v="3475"/>
    <s v="March"/>
    <n v="189"/>
    <n v="77868"/>
    <n v="69302.52"/>
    <n v="55.555555555555557"/>
    <n v="2023"/>
    <m/>
    <m/>
    <x v="3"/>
    <m/>
    <m/>
  </r>
  <r>
    <n v="1"/>
    <n v="24"/>
    <n v="1029"/>
    <n v="1326"/>
    <n v="219"/>
    <n v="1545"/>
    <s v="March"/>
    <n v="504"/>
    <n v="103824"/>
    <n v="92403.36"/>
    <n v="42.875"/>
    <n v="2023"/>
    <m/>
    <m/>
    <x v="3"/>
    <m/>
    <m/>
  </r>
  <r>
    <n v="2"/>
    <n v="23"/>
    <n v="1130"/>
    <n v="3106"/>
    <n v="369"/>
    <n v="3475"/>
    <s v="April"/>
    <n v="483"/>
    <n v="198996"/>
    <n v="177106.44"/>
    <n v="49.130434782608695"/>
    <n v="2023"/>
    <m/>
    <m/>
    <x v="3"/>
    <m/>
    <m/>
  </r>
  <r>
    <n v="1"/>
    <n v="22"/>
    <n v="500"/>
    <n v="1326"/>
    <n v="219"/>
    <n v="1545"/>
    <s v="April"/>
    <n v="462"/>
    <n v="95172"/>
    <n v="84703.08"/>
    <n v="22.727272727272727"/>
    <n v="2023"/>
    <m/>
    <m/>
    <x v="3"/>
    <m/>
    <m/>
  </r>
  <r>
    <n v="2"/>
    <n v="26"/>
    <n v="1273"/>
    <n v="3106"/>
    <n v="369"/>
    <n v="3475"/>
    <s v="April"/>
    <n v="546"/>
    <n v="224952"/>
    <n v="200207.28"/>
    <n v="48.96153846153846"/>
    <n v="2023"/>
    <m/>
    <m/>
    <x v="3"/>
    <m/>
    <m/>
  </r>
  <r>
    <n v="2"/>
    <n v="34"/>
    <n v="650"/>
    <n v="3106"/>
    <n v="369"/>
    <n v="3475"/>
    <s v="April"/>
    <n v="714"/>
    <n v="294168"/>
    <n v="261809.52"/>
    <n v="19.117647058823529"/>
    <n v="2023"/>
    <m/>
    <m/>
    <x v="3"/>
    <m/>
    <m/>
  </r>
  <r>
    <n v="1"/>
    <n v="22"/>
    <n v="600"/>
    <n v="1326"/>
    <n v="219"/>
    <n v="1545"/>
    <s v="May"/>
    <n v="462"/>
    <n v="95172"/>
    <n v="84703.08"/>
    <n v="27.272727272727273"/>
    <n v="2023"/>
    <m/>
    <m/>
    <x v="3"/>
    <m/>
    <m/>
  </r>
  <r>
    <n v="1"/>
    <n v="23"/>
    <n v="600"/>
    <n v="1326"/>
    <n v="219"/>
    <n v="1545"/>
    <s v="May"/>
    <n v="483"/>
    <n v="99498"/>
    <n v="88553.22"/>
    <n v="26.086956521739129"/>
    <n v="2023"/>
    <m/>
    <m/>
    <x v="3"/>
    <m/>
    <m/>
  </r>
  <r>
    <n v="2"/>
    <n v="21"/>
    <n v="350"/>
    <n v="3106"/>
    <n v="369"/>
    <n v="3475"/>
    <s v="May"/>
    <n v="441"/>
    <n v="181692"/>
    <n v="161705.88"/>
    <n v="16.666666666666668"/>
    <n v="2023"/>
    <m/>
    <m/>
    <x v="3"/>
    <m/>
    <m/>
  </r>
  <r>
    <n v="1"/>
    <n v="26"/>
    <n v="600"/>
    <n v="1326"/>
    <n v="219"/>
    <n v="1545"/>
    <s v="May"/>
    <n v="546"/>
    <n v="112476"/>
    <n v="100103.64"/>
    <n v="23.076923076923077"/>
    <n v="2023"/>
    <m/>
    <m/>
    <x v="3"/>
    <m/>
    <m/>
  </r>
  <r>
    <n v="1"/>
    <n v="24"/>
    <n v="600"/>
    <n v="1326"/>
    <n v="219"/>
    <n v="1545"/>
    <s v="June"/>
    <n v="504"/>
    <n v="103824"/>
    <n v="92403.36"/>
    <n v="25"/>
    <n v="2023"/>
    <m/>
    <m/>
    <x v="3"/>
    <m/>
    <m/>
  </r>
  <r>
    <n v="2"/>
    <n v="23"/>
    <n v="780"/>
    <n v="3106"/>
    <n v="369"/>
    <n v="3475"/>
    <s v="June"/>
    <n v="483"/>
    <n v="198996"/>
    <n v="177106.44"/>
    <n v="33.913043478260867"/>
    <n v="2023"/>
    <m/>
    <m/>
    <x v="3"/>
    <m/>
    <m/>
  </r>
  <r>
    <n v="2"/>
    <n v="16"/>
    <n v="870"/>
    <n v="3106"/>
    <n v="369"/>
    <n v="3475"/>
    <s v="June"/>
    <n v="336"/>
    <n v="138432"/>
    <n v="123204.48"/>
    <n v="54.375"/>
    <n v="2023"/>
    <m/>
    <m/>
    <x v="3"/>
    <m/>
    <m/>
  </r>
  <r>
    <n v="2"/>
    <n v="18"/>
    <n v="730"/>
    <n v="3106"/>
    <n v="369"/>
    <n v="3475"/>
    <s v="July"/>
    <n v="378"/>
    <n v="155736"/>
    <n v="138605.04"/>
    <n v="40.555555555555557"/>
    <n v="2023"/>
    <m/>
    <m/>
    <x v="3"/>
    <m/>
    <m/>
  </r>
  <r>
    <n v="2"/>
    <n v="21"/>
    <n v="1100"/>
    <n v="3106"/>
    <n v="369"/>
    <n v="3475"/>
    <s v="July"/>
    <n v="441"/>
    <n v="181692"/>
    <n v="161705.88"/>
    <n v="52.38095238095238"/>
    <n v="2023"/>
    <m/>
    <m/>
    <x v="3"/>
    <m/>
    <m/>
  </r>
  <r>
    <n v="2"/>
    <n v="22"/>
    <n v="1100"/>
    <n v="3106"/>
    <n v="369"/>
    <n v="3475"/>
    <s v="July"/>
    <n v="462"/>
    <n v="190344"/>
    <n v="169406.16"/>
    <n v="50"/>
    <n v="2023"/>
    <m/>
    <m/>
    <x v="3"/>
    <m/>
    <m/>
  </r>
  <r>
    <n v="1"/>
    <n v="19"/>
    <n v="880"/>
    <n v="1326"/>
    <n v="219"/>
    <n v="1545"/>
    <s v="August"/>
    <n v="399"/>
    <n v="82194"/>
    <n v="73152.66"/>
    <n v="46.315789473684212"/>
    <n v="2023"/>
    <m/>
    <m/>
    <x v="3"/>
    <m/>
    <m/>
  </r>
  <r>
    <n v="1"/>
    <n v="17"/>
    <n v="800"/>
    <n v="1326"/>
    <n v="219"/>
    <n v="1545"/>
    <s v="August"/>
    <n v="357"/>
    <n v="73542"/>
    <n v="65452.38"/>
    <n v="47.058823529411768"/>
    <n v="2023"/>
    <m/>
    <m/>
    <x v="3"/>
    <m/>
    <m/>
  </r>
  <r>
    <n v="2"/>
    <n v="23"/>
    <n v="870"/>
    <n v="3106"/>
    <n v="369"/>
    <n v="3475"/>
    <s v="August"/>
    <n v="483"/>
    <n v="198996"/>
    <n v="177106.44"/>
    <n v="37.826086956521742"/>
    <n v="2023"/>
    <m/>
    <m/>
    <x v="3"/>
    <m/>
    <m/>
  </r>
  <r>
    <n v="1"/>
    <n v="28"/>
    <n v="600"/>
    <n v="1326"/>
    <n v="219"/>
    <n v="1545"/>
    <s v="August"/>
    <n v="588"/>
    <n v="121128"/>
    <n v="107803.92"/>
    <n v="21.428571428571427"/>
    <n v="2023"/>
    <m/>
    <m/>
    <x v="3"/>
    <m/>
    <m/>
  </r>
  <r>
    <n v="2"/>
    <n v="25"/>
    <n v="870"/>
    <n v="3106"/>
    <n v="369"/>
    <n v="3475"/>
    <s v="September"/>
    <n v="525"/>
    <n v="216300"/>
    <n v="192507"/>
    <n v="34.799999999999997"/>
    <n v="2023"/>
    <m/>
    <m/>
    <x v="3"/>
    <m/>
    <m/>
  </r>
  <r>
    <n v="2"/>
    <n v="21"/>
    <n v="770"/>
    <n v="3106"/>
    <n v="369"/>
    <n v="3475"/>
    <s v="September"/>
    <n v="441"/>
    <n v="181692"/>
    <n v="161705.88"/>
    <n v="36.666666666666664"/>
    <n v="2023"/>
    <m/>
    <m/>
    <x v="3"/>
    <m/>
    <m/>
  </r>
  <r>
    <n v="1"/>
    <n v="18"/>
    <n v="480"/>
    <n v="1326"/>
    <n v="219"/>
    <n v="1545"/>
    <s v="September"/>
    <n v="378"/>
    <n v="77868"/>
    <n v="69302.52"/>
    <n v="26.666666666666668"/>
    <n v="2021"/>
    <m/>
    <m/>
    <x v="3"/>
    <m/>
    <m/>
  </r>
  <r>
    <n v="1"/>
    <n v="21"/>
    <n v="1000"/>
    <n v="1326"/>
    <n v="219"/>
    <n v="1545"/>
    <s v="March"/>
    <n v="441"/>
    <n v="90846"/>
    <n v="80852.94"/>
    <n v="47.61904761904762"/>
    <n v="2021"/>
    <m/>
    <m/>
    <x v="3"/>
    <m/>
    <m/>
  </r>
  <r>
    <n v="1"/>
    <n v="23"/>
    <n v="600"/>
    <n v="1326"/>
    <n v="219"/>
    <n v="1545"/>
    <s v="March"/>
    <n v="483"/>
    <n v="99498"/>
    <n v="88553.22"/>
    <n v="26.086956521739129"/>
    <n v="2021"/>
    <m/>
    <m/>
    <x v="3"/>
    <m/>
    <m/>
  </r>
  <r>
    <n v="3"/>
    <n v="22"/>
    <n v="0"/>
    <n v="5482"/>
    <n v="575"/>
    <n v="6057"/>
    <s v="March"/>
    <n v="462"/>
    <n v="285516"/>
    <n v="254109.24"/>
    <n v="0"/>
    <n v="2021"/>
    <m/>
    <m/>
    <x v="3"/>
    <m/>
    <m/>
  </r>
  <r>
    <n v="1"/>
    <n v="15"/>
    <n v="0"/>
    <n v="1326"/>
    <n v="219"/>
    <n v="1545"/>
    <s v="March"/>
    <n v="315"/>
    <n v="64890"/>
    <n v="57752.1"/>
    <n v="0"/>
    <n v="2021"/>
    <m/>
    <m/>
    <x v="3"/>
    <m/>
    <m/>
  </r>
  <r>
    <n v="1"/>
    <n v="18"/>
    <n v="600"/>
    <n v="1326"/>
    <n v="219"/>
    <n v="1545"/>
    <s v="April"/>
    <n v="378"/>
    <n v="77868"/>
    <n v="69302.52"/>
    <n v="33.333333333333336"/>
    <n v="2021"/>
    <m/>
    <m/>
    <x v="3"/>
    <m/>
    <m/>
  </r>
  <r>
    <n v="1"/>
    <n v="20"/>
    <n v="500"/>
    <n v="1326"/>
    <n v="219"/>
    <n v="1545"/>
    <s v="April"/>
    <n v="420"/>
    <n v="86520"/>
    <n v="77002.8"/>
    <n v="25"/>
    <n v="2021"/>
    <m/>
    <m/>
    <x v="3"/>
    <m/>
    <m/>
  </r>
  <r>
    <n v="1"/>
    <n v="25"/>
    <n v="600"/>
    <n v="1326"/>
    <n v="219"/>
    <n v="1545"/>
    <s v="April"/>
    <n v="525"/>
    <n v="108150"/>
    <n v="96253.5"/>
    <n v="24"/>
    <n v="2021"/>
    <m/>
    <m/>
    <x v="3"/>
    <m/>
    <m/>
  </r>
  <r>
    <n v="1"/>
    <n v="25"/>
    <n v="711.25"/>
    <n v="1326"/>
    <n v="219"/>
    <n v="1545"/>
    <s v="April"/>
    <n v="525"/>
    <n v="108150"/>
    <n v="96253.5"/>
    <n v="28.45"/>
    <n v="2021"/>
    <m/>
    <m/>
    <x v="3"/>
    <m/>
    <m/>
  </r>
  <r>
    <n v="2"/>
    <n v="20"/>
    <n v="750"/>
    <n v="3106"/>
    <n v="369"/>
    <n v="3475"/>
    <s v="May"/>
    <n v="420"/>
    <n v="173040"/>
    <n v="154005.6"/>
    <n v="37.5"/>
    <n v="2021"/>
    <m/>
    <m/>
    <x v="3"/>
    <m/>
    <m/>
  </r>
  <r>
    <n v="1"/>
    <n v="20"/>
    <n v="870"/>
    <n v="1326"/>
    <n v="219"/>
    <n v="1545"/>
    <s v="May"/>
    <n v="420"/>
    <n v="86520"/>
    <n v="77002.8"/>
    <n v="43.5"/>
    <n v="2021"/>
    <m/>
    <m/>
    <x v="3"/>
    <m/>
    <m/>
  </r>
  <r>
    <n v="1"/>
    <n v="20"/>
    <n v="500"/>
    <n v="1326"/>
    <n v="219"/>
    <n v="1545"/>
    <s v="May"/>
    <n v="420"/>
    <n v="86520"/>
    <n v="77002.8"/>
    <n v="25"/>
    <n v="2021"/>
    <m/>
    <m/>
    <x v="3"/>
    <m/>
    <m/>
  </r>
  <r>
    <n v="1"/>
    <n v="14"/>
    <n v="270"/>
    <n v="1326"/>
    <n v="219"/>
    <n v="1545"/>
    <s v="May"/>
    <n v="294"/>
    <n v="60564"/>
    <n v="53901.96"/>
    <n v="19.285714285714285"/>
    <n v="2021"/>
    <m/>
    <m/>
    <x v="3"/>
    <m/>
    <m/>
  </r>
  <r>
    <n v="2"/>
    <n v="22"/>
    <n v="870"/>
    <n v="3106"/>
    <n v="369"/>
    <n v="3475"/>
    <s v="May"/>
    <n v="462"/>
    <n v="190344"/>
    <n v="169406.16"/>
    <n v="39.545454545454547"/>
    <n v="2021"/>
    <m/>
    <m/>
    <x v="3"/>
    <m/>
    <m/>
  </r>
  <r>
    <n v="2"/>
    <n v="20"/>
    <n v="870"/>
    <n v="3106"/>
    <n v="369"/>
    <n v="3475"/>
    <s v="June"/>
    <n v="420"/>
    <n v="173040"/>
    <n v="154005.6"/>
    <n v="43.5"/>
    <n v="2021"/>
    <m/>
    <m/>
    <x v="3"/>
    <m/>
    <m/>
  </r>
  <r>
    <n v="2"/>
    <n v="27"/>
    <n v="750"/>
    <n v="3106"/>
    <n v="369"/>
    <n v="3475"/>
    <s v="June"/>
    <n v="567"/>
    <n v="233604"/>
    <n v="207907.56"/>
    <n v="27.777777777777779"/>
    <n v="2021"/>
    <m/>
    <m/>
    <x v="3"/>
    <m/>
    <m/>
  </r>
  <r>
    <n v="1"/>
    <n v="18"/>
    <n v="600"/>
    <n v="1326"/>
    <n v="219"/>
    <n v="1545"/>
    <s v="June"/>
    <n v="378"/>
    <n v="77868"/>
    <n v="69302.52"/>
    <n v="33.333333333333336"/>
    <n v="2021"/>
    <m/>
    <m/>
    <x v="3"/>
    <m/>
    <m/>
  </r>
  <r>
    <n v="2"/>
    <n v="24"/>
    <n v="750"/>
    <n v="3106"/>
    <n v="369"/>
    <n v="3475"/>
    <s v="July"/>
    <n v="504"/>
    <n v="207648"/>
    <n v="184806.72"/>
    <n v="31.25"/>
    <n v="2021"/>
    <m/>
    <m/>
    <x v="3"/>
    <m/>
    <m/>
  </r>
  <r>
    <n v="2"/>
    <n v="20"/>
    <n v="0"/>
    <n v="3106"/>
    <n v="369"/>
    <n v="3475"/>
    <s v="July"/>
    <n v="420"/>
    <n v="173040"/>
    <n v="154005.6"/>
    <n v="0"/>
    <n v="2021"/>
    <m/>
    <m/>
    <x v="3"/>
    <m/>
    <m/>
  </r>
  <r>
    <n v="4"/>
    <n v="42"/>
    <n v="1050"/>
    <n v="7000"/>
    <n v="700"/>
    <n v="7700"/>
    <s v="July"/>
    <n v="882"/>
    <n v="726768"/>
    <n v="646823.52"/>
    <n v="25"/>
    <n v="2021"/>
    <m/>
    <m/>
    <x v="3"/>
    <m/>
    <m/>
  </r>
  <r>
    <n v="5"/>
    <n v="70"/>
    <n v="0"/>
    <n v="10000"/>
    <n v="1100"/>
    <n v="11100"/>
    <s v="July"/>
    <n v="1470"/>
    <n v="1514100"/>
    <n v="1347549"/>
    <n v="0"/>
    <n v="2021"/>
    <m/>
    <m/>
    <x v="3"/>
    <m/>
    <m/>
  </r>
  <r>
    <n v="1"/>
    <n v="26"/>
    <n v="600"/>
    <n v="1326"/>
    <n v="219"/>
    <n v="1545"/>
    <s v="July"/>
    <n v="546"/>
    <n v="112476"/>
    <n v="100103.64"/>
    <n v="23.076923076923077"/>
    <n v="2021"/>
    <m/>
    <m/>
    <x v="3"/>
    <m/>
    <m/>
  </r>
  <r>
    <n v="1"/>
    <n v="22"/>
    <n v="600"/>
    <n v="1326"/>
    <n v="219"/>
    <n v="1545"/>
    <s v="August"/>
    <n v="462"/>
    <n v="95172"/>
    <n v="84703.08"/>
    <n v="27.272727272727273"/>
    <n v="2021"/>
    <m/>
    <m/>
    <x v="3"/>
    <m/>
    <m/>
  </r>
  <r>
    <n v="1"/>
    <n v="20"/>
    <n v="1200"/>
    <n v="1326"/>
    <n v="219"/>
    <n v="1545"/>
    <s v="August"/>
    <n v="420"/>
    <n v="86520"/>
    <n v="77002.8"/>
    <n v="60"/>
    <n v="2021"/>
    <m/>
    <m/>
    <x v="3"/>
    <m/>
    <m/>
  </r>
  <r>
    <n v="2"/>
    <n v="21"/>
    <n v="770"/>
    <n v="3106"/>
    <n v="369"/>
    <n v="3475"/>
    <s v="August"/>
    <n v="441"/>
    <n v="181692"/>
    <n v="161705.88"/>
    <n v="36.666666666666664"/>
    <n v="2021"/>
    <m/>
    <m/>
    <x v="3"/>
    <m/>
    <m/>
  </r>
  <r>
    <n v="1"/>
    <n v="31"/>
    <n v="0"/>
    <n v="1326"/>
    <n v="219"/>
    <n v="1545"/>
    <s v="August"/>
    <n v="651"/>
    <n v="134106"/>
    <n v="119354.34"/>
    <n v="0"/>
    <n v="2021"/>
    <m/>
    <m/>
    <x v="3"/>
    <m/>
    <m/>
  </r>
  <r>
    <n v="2"/>
    <n v="16"/>
    <n v="870"/>
    <n v="3106"/>
    <n v="369"/>
    <n v="3475"/>
    <s v="September"/>
    <n v="336"/>
    <n v="138432"/>
    <n v="123204.48"/>
    <n v="54.375"/>
    <n v="2021"/>
    <m/>
    <m/>
    <x v="3"/>
    <m/>
    <m/>
  </r>
  <r>
    <n v="2"/>
    <n v="22"/>
    <n v="0"/>
    <n v="3106"/>
    <n v="369"/>
    <n v="3475"/>
    <s v="September"/>
    <n v="462"/>
    <n v="190344"/>
    <n v="169406.16"/>
    <n v="0"/>
    <n v="2021"/>
    <m/>
    <m/>
    <x v="3"/>
    <m/>
    <m/>
  </r>
  <r>
    <n v="2"/>
    <n v="28"/>
    <n v="750"/>
    <n v="3106"/>
    <n v="369"/>
    <n v="3475"/>
    <s v="September"/>
    <n v="588"/>
    <n v="242256"/>
    <n v="215607.84"/>
    <n v="26.785714285714285"/>
    <n v="2021"/>
    <m/>
    <m/>
    <x v="3"/>
    <m/>
    <m/>
  </r>
  <r>
    <n v="1"/>
    <n v="26"/>
    <n v="600"/>
    <n v="1326"/>
    <n v="219"/>
    <n v="1545"/>
    <s v="September"/>
    <n v="546"/>
    <n v="112476"/>
    <n v="100103.64"/>
    <n v="23.076923076923077"/>
    <n v="2021"/>
    <m/>
    <m/>
    <x v="3"/>
    <m/>
    <m/>
  </r>
  <r>
    <n v="1"/>
    <n v="26"/>
    <n v="0"/>
    <n v="1326"/>
    <n v="219"/>
    <n v="1545"/>
    <s v="October"/>
    <n v="546"/>
    <n v="112476"/>
    <n v="100103.64"/>
    <n v="0"/>
    <n v="2021"/>
    <m/>
    <m/>
    <x v="3"/>
    <m/>
    <m/>
  </r>
  <r>
    <n v="1"/>
    <n v="26"/>
    <n v="600"/>
    <n v="1326"/>
    <n v="219"/>
    <n v="1545"/>
    <s v="October"/>
    <n v="546"/>
    <n v="112476"/>
    <n v="100103.64"/>
    <n v="23.076923076923077"/>
    <n v="2021"/>
    <m/>
    <m/>
    <x v="3"/>
    <m/>
    <m/>
  </r>
  <r>
    <n v="1"/>
    <n v="23"/>
    <n v="600"/>
    <n v="1326"/>
    <n v="219"/>
    <n v="1545"/>
    <s v="October"/>
    <n v="483"/>
    <n v="99498"/>
    <n v="88553.22"/>
    <n v="26.086956521739129"/>
    <n v="2021"/>
    <m/>
    <m/>
    <x v="3"/>
    <m/>
    <m/>
  </r>
  <r>
    <n v="1"/>
    <n v="20"/>
    <n v="600"/>
    <n v="1326"/>
    <n v="219"/>
    <n v="1545"/>
    <s v="November"/>
    <n v="420"/>
    <n v="86520"/>
    <n v="77002.8"/>
    <n v="30"/>
    <n v="2021"/>
    <m/>
    <m/>
    <x v="3"/>
    <m/>
    <m/>
  </r>
  <r>
    <n v="3"/>
    <n v="15"/>
    <n v="0"/>
    <n v="5482"/>
    <n v="575"/>
    <n v="6057"/>
    <s v="November "/>
    <n v="315"/>
    <n v="194670"/>
    <n v="173256.3"/>
    <n v="0"/>
    <n v="2021"/>
    <m/>
    <m/>
    <x v="3"/>
    <m/>
    <m/>
  </r>
  <r>
    <n v="2"/>
    <n v="21"/>
    <n v="750"/>
    <n v="3106"/>
    <n v="369"/>
    <n v="3475"/>
    <s v="October"/>
    <n v="441"/>
    <n v="181692"/>
    <n v="161705.88"/>
    <n v="35.714285714285715"/>
    <n v="2023"/>
    <m/>
    <m/>
    <x v="3"/>
    <m/>
    <m/>
  </r>
  <r>
    <n v="1"/>
    <n v="23"/>
    <n v="600"/>
    <n v="1326"/>
    <n v="219"/>
    <n v="1545"/>
    <s v="October"/>
    <n v="483"/>
    <n v="99498"/>
    <n v="88553.22"/>
    <n v="26.086956521739129"/>
    <n v="2023"/>
    <m/>
    <m/>
    <x v="3"/>
    <m/>
    <m/>
  </r>
  <r>
    <n v="1"/>
    <n v="29"/>
    <n v="600"/>
    <n v="1326"/>
    <n v="219"/>
    <n v="1545"/>
    <s v="October"/>
    <n v="609"/>
    <n v="125454"/>
    <n v="111654.06"/>
    <n v="20.689655172413794"/>
    <n v="2023"/>
    <m/>
    <m/>
    <x v="3"/>
    <m/>
    <m/>
  </r>
  <r>
    <n v="1"/>
    <n v="21"/>
    <n v="480"/>
    <n v="1326"/>
    <n v="219"/>
    <n v="1545"/>
    <s v="October"/>
    <n v="441"/>
    <n v="90846"/>
    <n v="80852.94"/>
    <n v="22.857142857142858"/>
    <n v="2023"/>
    <m/>
    <m/>
    <x v="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4978533"/>
    <x v="0"/>
    <n v="4356116.8043399993"/>
    <n v="5082136.2717299992"/>
    <n v="54451.460054249997"/>
    <n v="63526.703396624995"/>
  </r>
  <r>
    <n v="3560298"/>
    <x v="1"/>
    <n v="3115189.5440399996"/>
    <n v="3634387.8013799991"/>
    <n v="38939.869300499995"/>
    <n v="45429.847517249989"/>
  </r>
  <r>
    <n v="6523608"/>
    <x v="2"/>
    <n v="5708026.5278399996"/>
    <n v="6659364.2824799996"/>
    <n v="71350.331598000004"/>
    <n v="83242.05353099999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"/>
    <n v="29"/>
    <n v="820"/>
    <n v="3106"/>
    <n v="369"/>
    <n v="3475"/>
    <s v="March"/>
    <n v="609"/>
    <n v="250908"/>
    <n v="223308.12"/>
    <n v="28.275862068965516"/>
    <x v="0"/>
    <m/>
    <x v="0"/>
    <x v="0"/>
    <x v="0"/>
    <x v="0"/>
    <n v="54451.460054249997"/>
    <n v="63526.703396624995"/>
  </r>
  <r>
    <n v="0"/>
    <n v="0"/>
    <n v="0"/>
    <n v="0"/>
    <n v="0"/>
    <n v="0"/>
    <s v="March"/>
    <n v="0"/>
    <n v="0"/>
    <n v="0"/>
    <n v="0"/>
    <x v="0"/>
    <m/>
    <x v="1"/>
    <x v="1"/>
    <x v="1"/>
    <x v="1"/>
    <n v="44381.041803"/>
    <n v="51777.882103499993"/>
  </r>
  <r>
    <n v="0"/>
    <n v="0"/>
    <n v="0"/>
    <n v="0"/>
    <n v="0"/>
    <n v="0"/>
    <s v="March"/>
    <n v="0"/>
    <n v="0"/>
    <n v="0"/>
    <n v="0"/>
    <x v="0"/>
    <m/>
    <x v="2"/>
    <x v="2"/>
    <x v="2"/>
    <x v="2"/>
    <n v="71350.331598000004"/>
    <n v="83242.053530999998"/>
  </r>
  <r>
    <n v="1"/>
    <n v="20"/>
    <n v="600"/>
    <n v="1326"/>
    <n v="219"/>
    <n v="1545"/>
    <s v="March"/>
    <n v="420"/>
    <n v="86520"/>
    <n v="77002.8"/>
    <n v="30"/>
    <x v="0"/>
    <m/>
    <x v="3"/>
    <x v="3"/>
    <x v="3"/>
    <x v="3"/>
    <m/>
    <m/>
  </r>
  <r>
    <n v="2"/>
    <n v="26"/>
    <n v="900"/>
    <n v="3106"/>
    <n v="369"/>
    <n v="3475"/>
    <s v="April"/>
    <n v="546"/>
    <n v="224952"/>
    <n v="200207.28"/>
    <n v="34.615384615384613"/>
    <x v="0"/>
    <m/>
    <x v="3"/>
    <x v="3"/>
    <x v="3"/>
    <x v="3"/>
    <m/>
    <m/>
  </r>
  <r>
    <n v="0"/>
    <n v="0"/>
    <n v="0"/>
    <n v="0"/>
    <n v="0"/>
    <n v="0"/>
    <s v="April"/>
    <n v="0"/>
    <n v="0"/>
    <n v="0"/>
    <n v="0"/>
    <x v="0"/>
    <m/>
    <x v="3"/>
    <x v="3"/>
    <x v="3"/>
    <x v="3"/>
    <m/>
    <m/>
  </r>
  <r>
    <n v="1"/>
    <n v="23"/>
    <n v="600"/>
    <n v="1326"/>
    <n v="219"/>
    <n v="1545"/>
    <s v="April"/>
    <n v="483"/>
    <n v="99498"/>
    <n v="88553.22"/>
    <n v="26.086956521739129"/>
    <x v="0"/>
    <m/>
    <x v="3"/>
    <x v="3"/>
    <x v="3"/>
    <x v="3"/>
    <m/>
    <m/>
  </r>
  <r>
    <n v="2"/>
    <n v="36"/>
    <n v="870"/>
    <n v="3106"/>
    <n v="369"/>
    <n v="3475"/>
    <s v="April"/>
    <n v="756"/>
    <n v="311472"/>
    <n v="277210.08"/>
    <n v="24.166666666666668"/>
    <x v="0"/>
    <m/>
    <x v="3"/>
    <x v="3"/>
    <x v="3"/>
    <x v="3"/>
    <m/>
    <m/>
  </r>
  <r>
    <n v="2"/>
    <n v="32"/>
    <n v="900"/>
    <n v="3106"/>
    <n v="369"/>
    <n v="3475"/>
    <s v="April"/>
    <n v="672"/>
    <n v="276864"/>
    <n v="246408.95999999999"/>
    <n v="28.125"/>
    <x v="0"/>
    <m/>
    <x v="3"/>
    <x v="3"/>
    <x v="3"/>
    <x v="3"/>
    <m/>
    <m/>
  </r>
  <r>
    <n v="0"/>
    <n v="0"/>
    <n v="0"/>
    <n v="0"/>
    <n v="0"/>
    <n v="0"/>
    <s v="May"/>
    <n v="0"/>
    <n v="0"/>
    <n v="0"/>
    <n v="0"/>
    <x v="0"/>
    <m/>
    <x v="3"/>
    <x v="3"/>
    <x v="3"/>
    <x v="3"/>
    <m/>
    <m/>
  </r>
  <r>
    <n v="1"/>
    <n v="28"/>
    <n v="600"/>
    <n v="1326"/>
    <n v="219"/>
    <n v="1545"/>
    <s v="May"/>
    <n v="588"/>
    <n v="121128"/>
    <n v="107803.92"/>
    <n v="21.428571428571427"/>
    <x v="0"/>
    <m/>
    <x v="3"/>
    <x v="3"/>
    <x v="3"/>
    <x v="3"/>
    <m/>
    <m/>
  </r>
  <r>
    <n v="2"/>
    <n v="22"/>
    <n v="450"/>
    <n v="3106"/>
    <n v="369"/>
    <n v="3475"/>
    <s v="May"/>
    <n v="462"/>
    <n v="190344"/>
    <n v="169406.16"/>
    <n v="20.454545454545453"/>
    <x v="0"/>
    <m/>
    <x v="3"/>
    <x v="3"/>
    <x v="3"/>
    <x v="3"/>
    <m/>
    <m/>
  </r>
  <r>
    <n v="0"/>
    <n v="0"/>
    <n v="0"/>
    <n v="0"/>
    <n v="0"/>
    <n v="0"/>
    <s v="May"/>
    <n v="0"/>
    <n v="0"/>
    <n v="0"/>
    <n v="0"/>
    <x v="0"/>
    <m/>
    <x v="3"/>
    <x v="3"/>
    <x v="3"/>
    <x v="3"/>
    <m/>
    <m/>
  </r>
  <r>
    <n v="2"/>
    <n v="28"/>
    <n v="600"/>
    <n v="3106"/>
    <n v="369"/>
    <n v="3475"/>
    <s v="June"/>
    <n v="588"/>
    <n v="242256"/>
    <n v="215607.84"/>
    <n v="21.428571428571427"/>
    <x v="0"/>
    <m/>
    <x v="3"/>
    <x v="3"/>
    <x v="3"/>
    <x v="3"/>
    <m/>
    <m/>
  </r>
  <r>
    <n v="2"/>
    <n v="22"/>
    <n v="870"/>
    <n v="3106"/>
    <n v="369"/>
    <n v="3475"/>
    <s v="June"/>
    <n v="462"/>
    <n v="190344"/>
    <n v="169406.16"/>
    <n v="39.545454545454547"/>
    <x v="0"/>
    <m/>
    <x v="3"/>
    <x v="3"/>
    <x v="3"/>
    <x v="3"/>
    <m/>
    <m/>
  </r>
  <r>
    <n v="3"/>
    <n v="24"/>
    <n v="1000"/>
    <n v="5482"/>
    <n v="575"/>
    <n v="6057"/>
    <s v="June"/>
    <n v="504"/>
    <n v="311472"/>
    <n v="277210.08"/>
    <n v="41.666666666666664"/>
    <x v="0"/>
    <m/>
    <x v="3"/>
    <x v="3"/>
    <x v="3"/>
    <x v="3"/>
    <m/>
    <m/>
  </r>
  <r>
    <n v="1"/>
    <n v="29"/>
    <n v="600"/>
    <n v="1326"/>
    <n v="219"/>
    <n v="1545"/>
    <s v="June"/>
    <n v="609"/>
    <n v="125454"/>
    <n v="111654.06"/>
    <n v="20.689655172413794"/>
    <x v="0"/>
    <m/>
    <x v="3"/>
    <x v="3"/>
    <x v="3"/>
    <x v="3"/>
    <m/>
    <m/>
  </r>
  <r>
    <n v="0"/>
    <n v="0"/>
    <n v="0"/>
    <n v="0"/>
    <n v="0"/>
    <n v="0"/>
    <s v="July"/>
    <n v="0"/>
    <n v="0"/>
    <n v="0"/>
    <n v="0"/>
    <x v="0"/>
    <m/>
    <x v="3"/>
    <x v="3"/>
    <x v="3"/>
    <x v="3"/>
    <m/>
    <m/>
  </r>
  <r>
    <n v="3"/>
    <n v="26"/>
    <n v="870"/>
    <n v="5482"/>
    <n v="575"/>
    <n v="6057"/>
    <s v="July"/>
    <n v="546"/>
    <n v="337428"/>
    <n v="300310.92"/>
    <n v="33.46153846153846"/>
    <x v="0"/>
    <m/>
    <x v="3"/>
    <x v="3"/>
    <x v="3"/>
    <x v="3"/>
    <m/>
    <m/>
  </r>
  <r>
    <n v="2"/>
    <n v="26"/>
    <n v="1050"/>
    <n v="3106"/>
    <n v="369"/>
    <n v="3475"/>
    <s v="July"/>
    <n v="546"/>
    <n v="224952"/>
    <n v="200207.28"/>
    <n v="40.384615384615387"/>
    <x v="0"/>
    <m/>
    <x v="3"/>
    <x v="3"/>
    <x v="3"/>
    <x v="3"/>
    <m/>
    <m/>
  </r>
  <r>
    <n v="4"/>
    <n v="43"/>
    <n v="1000"/>
    <n v="7000"/>
    <n v="700"/>
    <n v="7700"/>
    <s v="July"/>
    <n v="903"/>
    <n v="744072"/>
    <n v="662224.07999999996"/>
    <n v="23.255813953488371"/>
    <x v="0"/>
    <m/>
    <x v="3"/>
    <x v="3"/>
    <x v="3"/>
    <x v="3"/>
    <m/>
    <m/>
  </r>
  <r>
    <n v="1"/>
    <n v="28"/>
    <n v="600"/>
    <n v="1326"/>
    <n v="219"/>
    <n v="1545"/>
    <s v="August"/>
    <n v="588"/>
    <n v="121128"/>
    <n v="107803.92"/>
    <n v="21.428571428571427"/>
    <x v="0"/>
    <m/>
    <x v="3"/>
    <x v="3"/>
    <x v="3"/>
    <x v="3"/>
    <m/>
    <m/>
  </r>
  <r>
    <n v="1"/>
    <n v="19"/>
    <n v="400"/>
    <n v="1326"/>
    <n v="219"/>
    <n v="1545"/>
    <s v="August"/>
    <n v="399"/>
    <n v="82194"/>
    <n v="73152.66"/>
    <n v="21.05263157894737"/>
    <x v="0"/>
    <m/>
    <x v="3"/>
    <x v="3"/>
    <x v="3"/>
    <x v="3"/>
    <m/>
    <m/>
  </r>
  <r>
    <n v="2"/>
    <n v="16"/>
    <n v="870"/>
    <n v="3106"/>
    <n v="369"/>
    <n v="3475"/>
    <s v="August"/>
    <n v="336"/>
    <n v="138432"/>
    <n v="123204.48"/>
    <n v="54.375"/>
    <x v="0"/>
    <m/>
    <x v="3"/>
    <x v="3"/>
    <x v="3"/>
    <x v="3"/>
    <m/>
    <m/>
  </r>
  <r>
    <n v="1"/>
    <n v="20"/>
    <n v="600"/>
    <n v="1326"/>
    <n v="219"/>
    <n v="1545"/>
    <s v="August"/>
    <n v="420"/>
    <n v="86520"/>
    <n v="77002.8"/>
    <n v="30"/>
    <x v="0"/>
    <m/>
    <x v="3"/>
    <x v="3"/>
    <x v="3"/>
    <x v="3"/>
    <m/>
    <m/>
  </r>
  <r>
    <n v="2"/>
    <n v="12"/>
    <n v="870"/>
    <n v="3106"/>
    <n v="369"/>
    <n v="3475"/>
    <s v="September"/>
    <n v="252"/>
    <n v="103824"/>
    <n v="92403.36"/>
    <n v="72.5"/>
    <x v="0"/>
    <m/>
    <x v="3"/>
    <x v="3"/>
    <x v="3"/>
    <x v="3"/>
    <m/>
    <m/>
  </r>
  <r>
    <n v="0"/>
    <n v="0"/>
    <n v="0"/>
    <n v="0"/>
    <n v="0"/>
    <n v="0"/>
    <s v="September"/>
    <n v="0"/>
    <n v="0"/>
    <n v="0"/>
    <n v="0"/>
    <x v="0"/>
    <m/>
    <x v="3"/>
    <x v="3"/>
    <x v="3"/>
    <x v="3"/>
    <m/>
    <m/>
  </r>
  <r>
    <n v="1"/>
    <n v="33"/>
    <n v="600"/>
    <n v="1326"/>
    <n v="219"/>
    <n v="1545"/>
    <s v="September"/>
    <n v="693"/>
    <n v="142065"/>
    <n v="126437.85"/>
    <n v="18.181818181818183"/>
    <x v="0"/>
    <m/>
    <x v="3"/>
    <x v="3"/>
    <x v="3"/>
    <x v="3"/>
    <m/>
    <m/>
  </r>
  <r>
    <n v="1"/>
    <n v="31"/>
    <n v="670"/>
    <n v="1326"/>
    <n v="219"/>
    <n v="1545"/>
    <s v="September"/>
    <n v="651"/>
    <n v="134106"/>
    <n v="119354.34"/>
    <n v="21.612903225806452"/>
    <x v="0"/>
    <m/>
    <x v="3"/>
    <x v="3"/>
    <x v="3"/>
    <x v="3"/>
    <m/>
    <m/>
  </r>
  <r>
    <n v="0"/>
    <n v="0"/>
    <n v="0"/>
    <n v="0"/>
    <n v="0"/>
    <n v="0"/>
    <s v="October"/>
    <n v="0"/>
    <n v="0"/>
    <n v="0"/>
    <n v="0"/>
    <x v="0"/>
    <m/>
    <x v="3"/>
    <x v="3"/>
    <x v="3"/>
    <x v="3"/>
    <m/>
    <m/>
  </r>
  <r>
    <n v="1"/>
    <n v="19"/>
    <n v="600"/>
    <n v="1326"/>
    <n v="219"/>
    <n v="1545"/>
    <s v="October"/>
    <n v="399"/>
    <n v="82194"/>
    <n v="73152.66"/>
    <n v="31.578947368421051"/>
    <x v="0"/>
    <m/>
    <x v="3"/>
    <x v="3"/>
    <x v="3"/>
    <x v="3"/>
    <m/>
    <m/>
  </r>
  <r>
    <n v="1"/>
    <n v="29"/>
    <n v="600"/>
    <n v="1326"/>
    <n v="219"/>
    <n v="1545"/>
    <s v="October"/>
    <n v="609"/>
    <n v="125454"/>
    <n v="111654.06"/>
    <n v="20.689655172413794"/>
    <x v="0"/>
    <m/>
    <x v="3"/>
    <x v="3"/>
    <x v="3"/>
    <x v="3"/>
    <m/>
    <m/>
  </r>
  <r>
    <n v="1"/>
    <n v="18"/>
    <n v="600"/>
    <n v="1326"/>
    <n v="219"/>
    <n v="1545"/>
    <s v="October"/>
    <n v="378"/>
    <n v="77868"/>
    <n v="69302.52"/>
    <n v="33.333333333333336"/>
    <x v="0"/>
    <m/>
    <x v="3"/>
    <x v="3"/>
    <x v="3"/>
    <x v="3"/>
    <m/>
    <m/>
  </r>
  <r>
    <n v="1"/>
    <n v="18"/>
    <n v="600"/>
    <n v="1326"/>
    <n v="219"/>
    <n v="1545"/>
    <s v="November"/>
    <n v="378"/>
    <n v="77868"/>
    <n v="69302.52"/>
    <n v="33.333333333333336"/>
    <x v="0"/>
    <m/>
    <x v="3"/>
    <x v="3"/>
    <x v="3"/>
    <x v="3"/>
    <m/>
    <m/>
  </r>
  <r>
    <n v="1"/>
    <n v="16"/>
    <n v="600"/>
    <n v="1326"/>
    <n v="219"/>
    <n v="1545"/>
    <s v="November"/>
    <n v="336"/>
    <n v="69216"/>
    <n v="61602.239999999998"/>
    <n v="37.5"/>
    <x v="0"/>
    <m/>
    <x v="3"/>
    <x v="3"/>
    <x v="3"/>
    <x v="3"/>
    <m/>
    <m/>
  </r>
  <r>
    <n v="2"/>
    <n v="9"/>
    <n v="870"/>
    <n v="3106"/>
    <n v="369"/>
    <n v="3475"/>
    <s v="March"/>
    <n v="189"/>
    <n v="77868"/>
    <n v="69302.52"/>
    <n v="96.666666666666671"/>
    <x v="1"/>
    <m/>
    <x v="3"/>
    <x v="3"/>
    <x v="3"/>
    <x v="3"/>
    <m/>
    <m/>
  </r>
  <r>
    <n v="2"/>
    <n v="9"/>
    <n v="700"/>
    <n v="3106"/>
    <n v="369"/>
    <n v="3475"/>
    <s v="March"/>
    <n v="189"/>
    <n v="77868"/>
    <n v="69302.52"/>
    <n v="77.777777777777771"/>
    <x v="1"/>
    <m/>
    <x v="3"/>
    <x v="3"/>
    <x v="3"/>
    <x v="3"/>
    <m/>
    <m/>
  </r>
  <r>
    <n v="2"/>
    <n v="9"/>
    <n v="500"/>
    <n v="3106"/>
    <n v="369"/>
    <n v="3475"/>
    <s v="March"/>
    <n v="189"/>
    <n v="77868"/>
    <n v="69302.52"/>
    <n v="55.555555555555557"/>
    <x v="1"/>
    <m/>
    <x v="3"/>
    <x v="3"/>
    <x v="3"/>
    <x v="3"/>
    <m/>
    <m/>
  </r>
  <r>
    <n v="1"/>
    <n v="24"/>
    <n v="1029"/>
    <n v="1326"/>
    <n v="219"/>
    <n v="1545"/>
    <s v="March"/>
    <n v="504"/>
    <n v="103824"/>
    <n v="92403.36"/>
    <n v="42.875"/>
    <x v="1"/>
    <m/>
    <x v="3"/>
    <x v="3"/>
    <x v="3"/>
    <x v="3"/>
    <m/>
    <m/>
  </r>
  <r>
    <n v="2"/>
    <n v="23"/>
    <n v="1130"/>
    <n v="3106"/>
    <n v="369"/>
    <n v="3475"/>
    <s v="April"/>
    <n v="483"/>
    <n v="198996"/>
    <n v="177106.44"/>
    <n v="49.130434782608695"/>
    <x v="1"/>
    <m/>
    <x v="3"/>
    <x v="3"/>
    <x v="3"/>
    <x v="3"/>
    <m/>
    <m/>
  </r>
  <r>
    <n v="1"/>
    <n v="22"/>
    <n v="500"/>
    <n v="1326"/>
    <n v="219"/>
    <n v="1545"/>
    <s v="April"/>
    <n v="462"/>
    <n v="95172"/>
    <n v="84703.08"/>
    <n v="22.727272727272727"/>
    <x v="1"/>
    <m/>
    <x v="3"/>
    <x v="3"/>
    <x v="3"/>
    <x v="3"/>
    <m/>
    <m/>
  </r>
  <r>
    <n v="2"/>
    <n v="26"/>
    <n v="1273"/>
    <n v="3106"/>
    <n v="369"/>
    <n v="3475"/>
    <s v="April"/>
    <n v="546"/>
    <n v="224952"/>
    <n v="200207.28"/>
    <n v="48.96153846153846"/>
    <x v="1"/>
    <m/>
    <x v="3"/>
    <x v="3"/>
    <x v="3"/>
    <x v="3"/>
    <m/>
    <m/>
  </r>
  <r>
    <n v="2"/>
    <n v="34"/>
    <n v="650"/>
    <n v="3106"/>
    <n v="369"/>
    <n v="3475"/>
    <s v="April"/>
    <n v="714"/>
    <n v="294168"/>
    <n v="261809.52"/>
    <n v="19.117647058823529"/>
    <x v="1"/>
    <m/>
    <x v="3"/>
    <x v="3"/>
    <x v="3"/>
    <x v="3"/>
    <m/>
    <m/>
  </r>
  <r>
    <n v="1"/>
    <n v="22"/>
    <n v="600"/>
    <n v="1326"/>
    <n v="219"/>
    <n v="1545"/>
    <s v="May"/>
    <n v="462"/>
    <n v="95172"/>
    <n v="84703.08"/>
    <n v="27.272727272727273"/>
    <x v="1"/>
    <m/>
    <x v="3"/>
    <x v="3"/>
    <x v="3"/>
    <x v="3"/>
    <m/>
    <m/>
  </r>
  <r>
    <n v="1"/>
    <n v="23"/>
    <n v="600"/>
    <n v="1326"/>
    <n v="219"/>
    <n v="1545"/>
    <s v="May"/>
    <n v="483"/>
    <n v="99498"/>
    <n v="88553.22"/>
    <n v="26.086956521739129"/>
    <x v="1"/>
    <m/>
    <x v="3"/>
    <x v="3"/>
    <x v="3"/>
    <x v="3"/>
    <m/>
    <m/>
  </r>
  <r>
    <n v="2"/>
    <n v="21"/>
    <n v="350"/>
    <n v="3106"/>
    <n v="369"/>
    <n v="3475"/>
    <s v="May"/>
    <n v="441"/>
    <n v="181692"/>
    <n v="161705.88"/>
    <n v="16.666666666666668"/>
    <x v="1"/>
    <m/>
    <x v="3"/>
    <x v="3"/>
    <x v="3"/>
    <x v="3"/>
    <m/>
    <m/>
  </r>
  <r>
    <n v="1"/>
    <n v="26"/>
    <n v="600"/>
    <n v="1326"/>
    <n v="219"/>
    <n v="1545"/>
    <s v="May"/>
    <n v="546"/>
    <n v="112476"/>
    <n v="100103.64"/>
    <n v="23.076923076923077"/>
    <x v="1"/>
    <m/>
    <x v="3"/>
    <x v="3"/>
    <x v="3"/>
    <x v="3"/>
    <m/>
    <m/>
  </r>
  <r>
    <n v="1"/>
    <n v="24"/>
    <n v="600"/>
    <n v="1326"/>
    <n v="219"/>
    <n v="1545"/>
    <s v="June"/>
    <n v="504"/>
    <n v="103824"/>
    <n v="92403.36"/>
    <n v="25"/>
    <x v="1"/>
    <m/>
    <x v="3"/>
    <x v="3"/>
    <x v="3"/>
    <x v="3"/>
    <m/>
    <m/>
  </r>
  <r>
    <n v="2"/>
    <n v="23"/>
    <n v="780"/>
    <n v="3106"/>
    <n v="369"/>
    <n v="3475"/>
    <s v="June"/>
    <n v="483"/>
    <n v="198996"/>
    <n v="177106.44"/>
    <n v="33.913043478260867"/>
    <x v="1"/>
    <m/>
    <x v="3"/>
    <x v="3"/>
    <x v="3"/>
    <x v="3"/>
    <m/>
    <m/>
  </r>
  <r>
    <n v="2"/>
    <n v="16"/>
    <n v="870"/>
    <n v="3106"/>
    <n v="369"/>
    <n v="3475"/>
    <s v="June"/>
    <n v="336"/>
    <n v="138432"/>
    <n v="123204.48"/>
    <n v="54.375"/>
    <x v="1"/>
    <m/>
    <x v="3"/>
    <x v="3"/>
    <x v="3"/>
    <x v="3"/>
    <m/>
    <m/>
  </r>
  <r>
    <n v="2"/>
    <n v="18"/>
    <n v="730"/>
    <n v="3106"/>
    <n v="369"/>
    <n v="3475"/>
    <s v="July"/>
    <n v="378"/>
    <n v="155736"/>
    <n v="138605.04"/>
    <n v="40.555555555555557"/>
    <x v="1"/>
    <m/>
    <x v="3"/>
    <x v="3"/>
    <x v="3"/>
    <x v="3"/>
    <m/>
    <m/>
  </r>
  <r>
    <n v="2"/>
    <n v="21"/>
    <n v="1100"/>
    <n v="3106"/>
    <n v="369"/>
    <n v="3475"/>
    <s v="July"/>
    <n v="441"/>
    <n v="181692"/>
    <n v="161705.88"/>
    <n v="52.38095238095238"/>
    <x v="1"/>
    <m/>
    <x v="3"/>
    <x v="3"/>
    <x v="3"/>
    <x v="3"/>
    <m/>
    <m/>
  </r>
  <r>
    <n v="2"/>
    <n v="22"/>
    <n v="1100"/>
    <n v="3106"/>
    <n v="369"/>
    <n v="3475"/>
    <s v="July"/>
    <n v="462"/>
    <n v="190344"/>
    <n v="169406.16"/>
    <n v="50"/>
    <x v="1"/>
    <m/>
    <x v="3"/>
    <x v="3"/>
    <x v="3"/>
    <x v="3"/>
    <m/>
    <m/>
  </r>
  <r>
    <n v="1"/>
    <n v="19"/>
    <n v="880"/>
    <n v="1326"/>
    <n v="219"/>
    <n v="1545"/>
    <s v="August"/>
    <n v="399"/>
    <n v="82194"/>
    <n v="73152.66"/>
    <n v="46.315789473684212"/>
    <x v="1"/>
    <m/>
    <x v="3"/>
    <x v="3"/>
    <x v="3"/>
    <x v="3"/>
    <m/>
    <m/>
  </r>
  <r>
    <n v="1"/>
    <n v="17"/>
    <n v="800"/>
    <n v="1326"/>
    <n v="219"/>
    <n v="1545"/>
    <s v="August"/>
    <n v="357"/>
    <n v="73542"/>
    <n v="65452.38"/>
    <n v="47.058823529411768"/>
    <x v="1"/>
    <m/>
    <x v="3"/>
    <x v="3"/>
    <x v="3"/>
    <x v="3"/>
    <m/>
    <m/>
  </r>
  <r>
    <n v="2"/>
    <n v="23"/>
    <n v="870"/>
    <n v="3106"/>
    <n v="369"/>
    <n v="3475"/>
    <s v="August"/>
    <n v="483"/>
    <n v="198996"/>
    <n v="177106.44"/>
    <n v="37.826086956521742"/>
    <x v="1"/>
    <m/>
    <x v="3"/>
    <x v="3"/>
    <x v="3"/>
    <x v="3"/>
    <m/>
    <m/>
  </r>
  <r>
    <n v="1"/>
    <n v="28"/>
    <n v="600"/>
    <n v="1326"/>
    <n v="219"/>
    <n v="1545"/>
    <s v="August"/>
    <n v="588"/>
    <n v="121128"/>
    <n v="107803.92"/>
    <n v="21.428571428571427"/>
    <x v="1"/>
    <m/>
    <x v="3"/>
    <x v="3"/>
    <x v="3"/>
    <x v="3"/>
    <m/>
    <m/>
  </r>
  <r>
    <n v="2"/>
    <n v="25"/>
    <n v="870"/>
    <n v="3106"/>
    <n v="369"/>
    <n v="3475"/>
    <s v="September"/>
    <n v="525"/>
    <n v="216300"/>
    <n v="192507"/>
    <n v="34.799999999999997"/>
    <x v="1"/>
    <m/>
    <x v="3"/>
    <x v="3"/>
    <x v="3"/>
    <x v="3"/>
    <m/>
    <m/>
  </r>
  <r>
    <n v="2"/>
    <n v="21"/>
    <n v="770"/>
    <n v="3106"/>
    <n v="369"/>
    <n v="3475"/>
    <s v="September"/>
    <n v="441"/>
    <n v="181692"/>
    <n v="161705.88"/>
    <n v="36.666666666666664"/>
    <x v="1"/>
    <m/>
    <x v="3"/>
    <x v="3"/>
    <x v="3"/>
    <x v="3"/>
    <m/>
    <m/>
  </r>
  <r>
    <n v="1"/>
    <n v="18"/>
    <n v="480"/>
    <n v="1326"/>
    <n v="219"/>
    <n v="1545"/>
    <s v="September"/>
    <n v="378"/>
    <n v="77868"/>
    <n v="69302.52"/>
    <n v="26.666666666666668"/>
    <x v="2"/>
    <m/>
    <x v="3"/>
    <x v="3"/>
    <x v="3"/>
    <x v="3"/>
    <m/>
    <m/>
  </r>
  <r>
    <n v="1"/>
    <n v="21"/>
    <n v="1000"/>
    <n v="1326"/>
    <n v="219"/>
    <n v="1545"/>
    <s v="March"/>
    <n v="441"/>
    <n v="90846"/>
    <n v="80852.94"/>
    <n v="47.61904761904762"/>
    <x v="2"/>
    <m/>
    <x v="3"/>
    <x v="3"/>
    <x v="3"/>
    <x v="3"/>
    <m/>
    <m/>
  </r>
  <r>
    <n v="1"/>
    <n v="23"/>
    <n v="600"/>
    <n v="1326"/>
    <n v="219"/>
    <n v="1545"/>
    <s v="March"/>
    <n v="483"/>
    <n v="99498"/>
    <n v="88553.22"/>
    <n v="26.086956521739129"/>
    <x v="2"/>
    <m/>
    <x v="3"/>
    <x v="3"/>
    <x v="3"/>
    <x v="3"/>
    <m/>
    <m/>
  </r>
  <r>
    <n v="3"/>
    <n v="22"/>
    <n v="0"/>
    <n v="5482"/>
    <n v="575"/>
    <n v="6057"/>
    <s v="March"/>
    <n v="462"/>
    <n v="285516"/>
    <n v="254109.24"/>
    <n v="0"/>
    <x v="2"/>
    <m/>
    <x v="3"/>
    <x v="3"/>
    <x v="3"/>
    <x v="3"/>
    <m/>
    <m/>
  </r>
  <r>
    <n v="1"/>
    <n v="15"/>
    <n v="0"/>
    <n v="1326"/>
    <n v="219"/>
    <n v="1545"/>
    <s v="March"/>
    <n v="315"/>
    <n v="64890"/>
    <n v="57752.1"/>
    <n v="0"/>
    <x v="2"/>
    <m/>
    <x v="3"/>
    <x v="3"/>
    <x v="3"/>
    <x v="3"/>
    <m/>
    <m/>
  </r>
  <r>
    <n v="1"/>
    <n v="18"/>
    <n v="600"/>
    <n v="1326"/>
    <n v="219"/>
    <n v="1545"/>
    <s v="April"/>
    <n v="378"/>
    <n v="77868"/>
    <n v="69302.52"/>
    <n v="33.333333333333336"/>
    <x v="2"/>
    <m/>
    <x v="3"/>
    <x v="3"/>
    <x v="3"/>
    <x v="3"/>
    <m/>
    <m/>
  </r>
  <r>
    <n v="1"/>
    <n v="20"/>
    <n v="500"/>
    <n v="1326"/>
    <n v="219"/>
    <n v="1545"/>
    <s v="April"/>
    <n v="420"/>
    <n v="86520"/>
    <n v="77002.8"/>
    <n v="25"/>
    <x v="2"/>
    <m/>
    <x v="3"/>
    <x v="3"/>
    <x v="3"/>
    <x v="3"/>
    <m/>
    <m/>
  </r>
  <r>
    <n v="1"/>
    <n v="25"/>
    <n v="600"/>
    <n v="1326"/>
    <n v="219"/>
    <n v="1545"/>
    <s v="April"/>
    <n v="525"/>
    <n v="108150"/>
    <n v="96253.5"/>
    <n v="24"/>
    <x v="2"/>
    <m/>
    <x v="3"/>
    <x v="3"/>
    <x v="3"/>
    <x v="3"/>
    <m/>
    <m/>
  </r>
  <r>
    <n v="1"/>
    <n v="25"/>
    <n v="711.25"/>
    <n v="1326"/>
    <n v="219"/>
    <n v="1545"/>
    <s v="April"/>
    <n v="525"/>
    <n v="108150"/>
    <n v="96253.5"/>
    <n v="28.45"/>
    <x v="2"/>
    <m/>
    <x v="3"/>
    <x v="3"/>
    <x v="3"/>
    <x v="3"/>
    <m/>
    <m/>
  </r>
  <r>
    <n v="2"/>
    <n v="20"/>
    <n v="750"/>
    <n v="3106"/>
    <n v="369"/>
    <n v="3475"/>
    <s v="May"/>
    <n v="420"/>
    <n v="173040"/>
    <n v="154005.6"/>
    <n v="37.5"/>
    <x v="2"/>
    <m/>
    <x v="3"/>
    <x v="3"/>
    <x v="3"/>
    <x v="3"/>
    <m/>
    <m/>
  </r>
  <r>
    <n v="1"/>
    <n v="20"/>
    <n v="870"/>
    <n v="1326"/>
    <n v="219"/>
    <n v="1545"/>
    <s v="May"/>
    <n v="420"/>
    <n v="86520"/>
    <n v="77002.8"/>
    <n v="43.5"/>
    <x v="2"/>
    <m/>
    <x v="3"/>
    <x v="3"/>
    <x v="3"/>
    <x v="3"/>
    <m/>
    <m/>
  </r>
  <r>
    <n v="1"/>
    <n v="20"/>
    <n v="500"/>
    <n v="1326"/>
    <n v="219"/>
    <n v="1545"/>
    <s v="May"/>
    <n v="420"/>
    <n v="86520"/>
    <n v="77002.8"/>
    <n v="25"/>
    <x v="2"/>
    <m/>
    <x v="3"/>
    <x v="3"/>
    <x v="3"/>
    <x v="3"/>
    <m/>
    <m/>
  </r>
  <r>
    <n v="1"/>
    <n v="14"/>
    <n v="270"/>
    <n v="1326"/>
    <n v="219"/>
    <n v="1545"/>
    <s v="May"/>
    <n v="294"/>
    <n v="60564"/>
    <n v="53901.96"/>
    <n v="19.285714285714285"/>
    <x v="2"/>
    <m/>
    <x v="3"/>
    <x v="3"/>
    <x v="3"/>
    <x v="3"/>
    <m/>
    <m/>
  </r>
  <r>
    <n v="2"/>
    <n v="22"/>
    <n v="870"/>
    <n v="3106"/>
    <n v="369"/>
    <n v="3475"/>
    <s v="May"/>
    <n v="462"/>
    <n v="190344"/>
    <n v="169406.16"/>
    <n v="39.545454545454547"/>
    <x v="2"/>
    <m/>
    <x v="3"/>
    <x v="3"/>
    <x v="3"/>
    <x v="3"/>
    <m/>
    <m/>
  </r>
  <r>
    <n v="2"/>
    <n v="20"/>
    <n v="870"/>
    <n v="3106"/>
    <n v="369"/>
    <n v="3475"/>
    <s v="June"/>
    <n v="420"/>
    <n v="173040"/>
    <n v="154005.6"/>
    <n v="43.5"/>
    <x v="2"/>
    <m/>
    <x v="3"/>
    <x v="3"/>
    <x v="3"/>
    <x v="3"/>
    <m/>
    <m/>
  </r>
  <r>
    <n v="2"/>
    <n v="27"/>
    <n v="750"/>
    <n v="3106"/>
    <n v="369"/>
    <n v="3475"/>
    <s v="June"/>
    <n v="567"/>
    <n v="233604"/>
    <n v="207907.56"/>
    <n v="27.777777777777779"/>
    <x v="2"/>
    <m/>
    <x v="3"/>
    <x v="3"/>
    <x v="3"/>
    <x v="3"/>
    <m/>
    <m/>
  </r>
  <r>
    <n v="1"/>
    <n v="18"/>
    <n v="600"/>
    <n v="1326"/>
    <n v="219"/>
    <n v="1545"/>
    <s v="June"/>
    <n v="378"/>
    <n v="77868"/>
    <n v="69302.52"/>
    <n v="33.333333333333336"/>
    <x v="2"/>
    <m/>
    <x v="3"/>
    <x v="3"/>
    <x v="3"/>
    <x v="3"/>
    <m/>
    <m/>
  </r>
  <r>
    <n v="2"/>
    <n v="24"/>
    <n v="750"/>
    <n v="3106"/>
    <n v="369"/>
    <n v="3475"/>
    <s v="July"/>
    <n v="504"/>
    <n v="207648"/>
    <n v="184806.72"/>
    <n v="31.25"/>
    <x v="2"/>
    <m/>
    <x v="3"/>
    <x v="3"/>
    <x v="3"/>
    <x v="3"/>
    <m/>
    <m/>
  </r>
  <r>
    <n v="2"/>
    <n v="20"/>
    <n v="0"/>
    <n v="3106"/>
    <n v="369"/>
    <n v="3475"/>
    <s v="July"/>
    <n v="420"/>
    <n v="173040"/>
    <n v="154005.6"/>
    <n v="0"/>
    <x v="2"/>
    <m/>
    <x v="3"/>
    <x v="3"/>
    <x v="3"/>
    <x v="3"/>
    <m/>
    <m/>
  </r>
  <r>
    <n v="4"/>
    <n v="42"/>
    <n v="1050"/>
    <n v="7000"/>
    <n v="700"/>
    <n v="7700"/>
    <s v="July"/>
    <n v="882"/>
    <n v="726768"/>
    <n v="646823.52"/>
    <n v="25"/>
    <x v="2"/>
    <m/>
    <x v="3"/>
    <x v="3"/>
    <x v="3"/>
    <x v="3"/>
    <m/>
    <m/>
  </r>
  <r>
    <n v="5"/>
    <n v="70"/>
    <n v="0"/>
    <n v="10000"/>
    <n v="1100"/>
    <n v="11100"/>
    <s v="July"/>
    <n v="1470"/>
    <n v="1514100"/>
    <n v="1347549"/>
    <n v="0"/>
    <x v="2"/>
    <m/>
    <x v="3"/>
    <x v="3"/>
    <x v="3"/>
    <x v="3"/>
    <m/>
    <m/>
  </r>
  <r>
    <n v="1"/>
    <n v="26"/>
    <n v="600"/>
    <n v="1326"/>
    <n v="219"/>
    <n v="1545"/>
    <s v="July"/>
    <n v="546"/>
    <n v="112476"/>
    <n v="100103.64"/>
    <n v="23.076923076923077"/>
    <x v="2"/>
    <m/>
    <x v="3"/>
    <x v="3"/>
    <x v="3"/>
    <x v="3"/>
    <m/>
    <m/>
  </r>
  <r>
    <n v="1"/>
    <n v="22"/>
    <n v="600"/>
    <n v="1326"/>
    <n v="219"/>
    <n v="1545"/>
    <s v="August"/>
    <n v="462"/>
    <n v="95172"/>
    <n v="84703.08"/>
    <n v="27.272727272727273"/>
    <x v="2"/>
    <m/>
    <x v="3"/>
    <x v="3"/>
    <x v="3"/>
    <x v="3"/>
    <m/>
    <m/>
  </r>
  <r>
    <n v="1"/>
    <n v="20"/>
    <n v="1200"/>
    <n v="1326"/>
    <n v="219"/>
    <n v="1545"/>
    <s v="August"/>
    <n v="420"/>
    <n v="86520"/>
    <n v="77002.8"/>
    <n v="60"/>
    <x v="2"/>
    <m/>
    <x v="3"/>
    <x v="3"/>
    <x v="3"/>
    <x v="3"/>
    <m/>
    <m/>
  </r>
  <r>
    <n v="2"/>
    <n v="21"/>
    <n v="770"/>
    <n v="3106"/>
    <n v="369"/>
    <n v="3475"/>
    <s v="August"/>
    <n v="441"/>
    <n v="181692"/>
    <n v="161705.88"/>
    <n v="36.666666666666664"/>
    <x v="2"/>
    <m/>
    <x v="3"/>
    <x v="3"/>
    <x v="3"/>
    <x v="3"/>
    <m/>
    <m/>
  </r>
  <r>
    <n v="1"/>
    <n v="31"/>
    <n v="0"/>
    <n v="1326"/>
    <n v="219"/>
    <n v="1545"/>
    <s v="August"/>
    <n v="651"/>
    <n v="134106"/>
    <n v="119354.34"/>
    <n v="0"/>
    <x v="2"/>
    <m/>
    <x v="3"/>
    <x v="3"/>
    <x v="3"/>
    <x v="3"/>
    <m/>
    <m/>
  </r>
  <r>
    <n v="2"/>
    <n v="16"/>
    <n v="870"/>
    <n v="3106"/>
    <n v="369"/>
    <n v="3475"/>
    <s v="September"/>
    <n v="336"/>
    <n v="138432"/>
    <n v="123204.48"/>
    <n v="54.375"/>
    <x v="2"/>
    <m/>
    <x v="3"/>
    <x v="3"/>
    <x v="3"/>
    <x v="3"/>
    <m/>
    <m/>
  </r>
  <r>
    <n v="2"/>
    <n v="22"/>
    <n v="0"/>
    <n v="3106"/>
    <n v="369"/>
    <n v="3475"/>
    <s v="September"/>
    <n v="462"/>
    <n v="190344"/>
    <n v="169406.16"/>
    <n v="0"/>
    <x v="2"/>
    <m/>
    <x v="3"/>
    <x v="3"/>
    <x v="3"/>
    <x v="3"/>
    <m/>
    <m/>
  </r>
  <r>
    <n v="2"/>
    <n v="28"/>
    <n v="750"/>
    <n v="3106"/>
    <n v="369"/>
    <n v="3475"/>
    <s v="September"/>
    <n v="588"/>
    <n v="242256"/>
    <n v="215607.84"/>
    <n v="26.785714285714285"/>
    <x v="2"/>
    <m/>
    <x v="3"/>
    <x v="3"/>
    <x v="3"/>
    <x v="3"/>
    <m/>
    <m/>
  </r>
  <r>
    <n v="1"/>
    <n v="26"/>
    <n v="600"/>
    <n v="1326"/>
    <n v="219"/>
    <n v="1545"/>
    <s v="September"/>
    <n v="546"/>
    <n v="112476"/>
    <n v="100103.64"/>
    <n v="23.076923076923077"/>
    <x v="2"/>
    <m/>
    <x v="3"/>
    <x v="3"/>
    <x v="3"/>
    <x v="3"/>
    <m/>
    <m/>
  </r>
  <r>
    <n v="1"/>
    <n v="26"/>
    <n v="0"/>
    <n v="1326"/>
    <n v="219"/>
    <n v="1545"/>
    <s v="October"/>
    <n v="546"/>
    <n v="112476"/>
    <n v="100103.64"/>
    <n v="0"/>
    <x v="2"/>
    <m/>
    <x v="3"/>
    <x v="3"/>
    <x v="3"/>
    <x v="3"/>
    <m/>
    <m/>
  </r>
  <r>
    <n v="1"/>
    <n v="26"/>
    <n v="600"/>
    <n v="1326"/>
    <n v="219"/>
    <n v="1545"/>
    <s v="October"/>
    <n v="546"/>
    <n v="112476"/>
    <n v="100103.64"/>
    <n v="23.076923076923077"/>
    <x v="2"/>
    <m/>
    <x v="3"/>
    <x v="3"/>
    <x v="3"/>
    <x v="3"/>
    <m/>
    <m/>
  </r>
  <r>
    <n v="1"/>
    <n v="23"/>
    <n v="600"/>
    <n v="1326"/>
    <n v="219"/>
    <n v="1545"/>
    <s v="October"/>
    <n v="483"/>
    <n v="99498"/>
    <n v="88553.22"/>
    <n v="26.086956521739129"/>
    <x v="2"/>
    <m/>
    <x v="3"/>
    <x v="3"/>
    <x v="3"/>
    <x v="3"/>
    <m/>
    <m/>
  </r>
  <r>
    <n v="1"/>
    <n v="20"/>
    <n v="600"/>
    <n v="1326"/>
    <n v="219"/>
    <n v="1545"/>
    <s v="November"/>
    <n v="420"/>
    <n v="86520"/>
    <n v="77002.8"/>
    <n v="30"/>
    <x v="2"/>
    <m/>
    <x v="3"/>
    <x v="3"/>
    <x v="3"/>
    <x v="3"/>
    <m/>
    <m/>
  </r>
  <r>
    <n v="3"/>
    <n v="15"/>
    <n v="0"/>
    <n v="5482"/>
    <n v="575"/>
    <n v="6057"/>
    <s v="November "/>
    <n v="315"/>
    <n v="194670"/>
    <n v="173256.3"/>
    <n v="0"/>
    <x v="2"/>
    <m/>
    <x v="3"/>
    <x v="3"/>
    <x v="3"/>
    <x v="3"/>
    <m/>
    <m/>
  </r>
  <r>
    <n v="2"/>
    <n v="21"/>
    <n v="750"/>
    <n v="3106"/>
    <n v="369"/>
    <n v="3475"/>
    <s v="October"/>
    <n v="441"/>
    <n v="181692"/>
    <n v="161705.88"/>
    <n v="35.714285714285715"/>
    <x v="1"/>
    <m/>
    <x v="3"/>
    <x v="3"/>
    <x v="3"/>
    <x v="3"/>
    <m/>
    <m/>
  </r>
  <r>
    <n v="1"/>
    <n v="23"/>
    <n v="600"/>
    <n v="1326"/>
    <n v="219"/>
    <n v="1545"/>
    <s v="October"/>
    <n v="483"/>
    <n v="99498"/>
    <n v="88553.22"/>
    <n v="26.086956521739129"/>
    <x v="1"/>
    <m/>
    <x v="3"/>
    <x v="3"/>
    <x v="3"/>
    <x v="3"/>
    <m/>
    <m/>
  </r>
  <r>
    <n v="1"/>
    <n v="29"/>
    <n v="600"/>
    <n v="1326"/>
    <n v="219"/>
    <n v="1545"/>
    <s v="October"/>
    <n v="609"/>
    <n v="125454"/>
    <n v="111654.06"/>
    <n v="20.689655172413794"/>
    <x v="1"/>
    <m/>
    <x v="3"/>
    <x v="3"/>
    <x v="3"/>
    <x v="3"/>
    <m/>
    <m/>
  </r>
  <r>
    <n v="1"/>
    <n v="21"/>
    <n v="480"/>
    <n v="1326"/>
    <n v="219"/>
    <n v="1545"/>
    <s v="October"/>
    <n v="441"/>
    <n v="90846"/>
    <n v="80852.94"/>
    <n v="22.857142857142858"/>
    <x v="1"/>
    <m/>
    <x v="3"/>
    <x v="3"/>
    <x v="3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E798A-E88B-4FFB-9CCA-7203BBB0587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E14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dataField="1"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spending" fld="8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FC9B9-DF8F-4723-8F26-ED9EDB18058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E14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teams" fld="1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1" count="1" selected="0">
            <x v="0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C0175-3BA6-4ADE-B29C-F8146CC489C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I15" firstHeaderRow="1" firstDataRow="3" firstDataCol="1"/>
  <pivotFields count="13">
    <pivotField showAll="0"/>
    <pivotField showAll="0"/>
    <pivotField dataField="1" showAll="0"/>
    <pivotField showAll="0"/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Fees" fld="2" baseField="6" baseItem="0"/>
    <dataField name="Maintenance" fld="5" baseField="6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D99B7-292A-4DC1-B120-0B0A298B89D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E5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0">
        <item x="1"/>
        <item x="33"/>
        <item x="30"/>
        <item x="19"/>
        <item x="26"/>
        <item x="18"/>
        <item x="13"/>
        <item x="2"/>
        <item x="28"/>
        <item x="21"/>
        <item x="4"/>
        <item x="15"/>
        <item x="31"/>
        <item x="24"/>
        <item x="7"/>
        <item x="10"/>
        <item x="17"/>
        <item x="14"/>
        <item x="16"/>
        <item x="25"/>
        <item x="32"/>
        <item x="23"/>
        <item x="8"/>
        <item x="38"/>
        <item x="20"/>
        <item x="35"/>
        <item x="27"/>
        <item x="3"/>
        <item x="34"/>
        <item x="9"/>
        <item x="0"/>
        <item x="6"/>
        <item x="29"/>
        <item x="22"/>
        <item x="5"/>
        <item x="11"/>
        <item x="36"/>
        <item x="12"/>
        <item x="37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Items count="1">
    <i/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spending" fld="8" baseField="0" baseItem="0"/>
  </dataFields>
  <chartFormats count="9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33E7B-8B09-4EBB-94D3-8DE0DDB5774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H6" firstHeaderRow="1" firstDataRow="3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dataField="1" showAll="0"/>
    <pivotField dataField="1" showAll="0"/>
  </pivotFields>
  <rowItems count="1">
    <i/>
  </rowItems>
  <colFields count="2">
    <field x="1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djust Lower" fld="15" baseField="0" baseItem="0"/>
    <dataField name="Sum of Adjust Upper" fld="16" baseField="0" baseItem="0"/>
  </dataFields>
  <chartFormats count="1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1C1CC-3F95-4694-BECA-C3859107D58F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H6" firstHeaderRow="1" firstDataRow="3" firstDataCol="0"/>
  <pivotFields count="6"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dataField="1" showAll="0"/>
  </pivotFields>
  <rowItems count="1">
    <i/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Tax Lower" fld="4" baseField="0" baseItem="0"/>
    <dataField name="Sum of Tax Upper" fld="5" baseField="0" baseItem="0"/>
  </dataField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48952-1550-49FC-9180-5D2EDD52749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6" firstHeaderRow="1" firstDataRow="3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>
      <items count="5">
        <item x="1"/>
        <item x="0"/>
        <item x="2"/>
        <item h="1" x="3"/>
        <item t="default"/>
      </items>
    </pivotField>
    <pivotField axis="axisCol" showAll="0">
      <items count="5">
        <item x="2"/>
        <item x="0"/>
        <item x="1"/>
        <item h="1" x="3"/>
        <item t="default"/>
      </items>
    </pivotField>
    <pivotField dataField="1" showAll="0">
      <items count="5">
        <item x="1"/>
        <item x="0"/>
        <item x="2"/>
        <item h="1" x="3"/>
        <item t="default"/>
      </items>
    </pivotField>
    <pivotField dataField="1" showAll="0">
      <items count="5">
        <item x="1"/>
        <item x="0"/>
        <item x="2"/>
        <item h="1" x="3"/>
        <item t="default"/>
      </items>
    </pivotField>
    <pivotField showAll="0"/>
    <pivotField showAll="0"/>
  </pivotFields>
  <rowItems count="1">
    <i/>
  </rowItems>
  <colFields count="2">
    <field x="14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djust Lower" fld="15" baseField="0" baseItem="0"/>
    <dataField name="Sum of Adjust Upper" fld="16" baseField="0" baseItem="0"/>
    <dataField name="Sum of Total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3EF4-CEB7-4A5F-BA8B-1FEE80F6277F}">
  <dimension ref="A3:E14"/>
  <sheetViews>
    <sheetView topLeftCell="A3" workbookViewId="0">
      <selection activeCell="A5" sqref="A5:E14"/>
    </sheetView>
  </sheetViews>
  <sheetFormatPr defaultRowHeight="14.5" x14ac:dyDescent="0.35"/>
  <cols>
    <col min="1" max="1" width="15.81640625" bestFit="1" customWidth="1"/>
    <col min="2" max="2" width="16.26953125" bestFit="1" customWidth="1"/>
    <col min="3" max="4" width="8" bestFit="1" customWidth="1"/>
    <col min="5" max="5" width="11.26953125" bestFit="1" customWidth="1"/>
  </cols>
  <sheetData>
    <row r="3" spans="1:5" x14ac:dyDescent="0.35">
      <c r="A3" s="1" t="s">
        <v>25</v>
      </c>
      <c r="B3" s="1" t="s">
        <v>26</v>
      </c>
    </row>
    <row r="4" spans="1:5" x14ac:dyDescent="0.35">
      <c r="A4" s="1" t="s">
        <v>23</v>
      </c>
      <c r="B4">
        <v>2021</v>
      </c>
      <c r="C4">
        <v>2022</v>
      </c>
      <c r="D4">
        <v>2023</v>
      </c>
      <c r="E4" t="s">
        <v>24</v>
      </c>
    </row>
    <row r="5" spans="1:5" x14ac:dyDescent="0.35">
      <c r="A5" s="2" t="s">
        <v>11</v>
      </c>
      <c r="B5">
        <v>540750</v>
      </c>
      <c r="C5">
        <v>337428</v>
      </c>
      <c r="D5">
        <v>337428</v>
      </c>
      <c r="E5">
        <v>1215606</v>
      </c>
    </row>
    <row r="6" spans="1:5" x14ac:dyDescent="0.35">
      <c r="A6" s="2" t="s">
        <v>12</v>
      </c>
      <c r="B6">
        <v>380688</v>
      </c>
      <c r="C6">
        <v>912786</v>
      </c>
      <c r="D6">
        <v>813288</v>
      </c>
      <c r="E6">
        <v>2106762</v>
      </c>
    </row>
    <row r="7" spans="1:5" x14ac:dyDescent="0.35">
      <c r="A7" s="2" t="s">
        <v>13</v>
      </c>
      <c r="B7">
        <v>596988</v>
      </c>
      <c r="C7">
        <v>311472</v>
      </c>
      <c r="D7">
        <v>488838</v>
      </c>
      <c r="E7">
        <v>1397298</v>
      </c>
    </row>
    <row r="8" spans="1:5" x14ac:dyDescent="0.35">
      <c r="A8" s="2" t="s">
        <v>14</v>
      </c>
      <c r="B8">
        <v>484512</v>
      </c>
      <c r="C8">
        <v>869526</v>
      </c>
      <c r="D8">
        <v>441252</v>
      </c>
      <c r="E8">
        <v>1795290</v>
      </c>
    </row>
    <row r="9" spans="1:5" x14ac:dyDescent="0.35">
      <c r="A9" s="2" t="s">
        <v>15</v>
      </c>
      <c r="B9">
        <v>2734032</v>
      </c>
      <c r="C9">
        <v>1306452</v>
      </c>
      <c r="D9">
        <v>527772</v>
      </c>
      <c r="E9">
        <v>4568256</v>
      </c>
    </row>
    <row r="10" spans="1:5" x14ac:dyDescent="0.35">
      <c r="A10" s="2" t="s">
        <v>16</v>
      </c>
      <c r="B10">
        <v>497490</v>
      </c>
      <c r="C10">
        <v>428274</v>
      </c>
      <c r="D10">
        <v>475860</v>
      </c>
      <c r="E10">
        <v>1401624</v>
      </c>
    </row>
    <row r="11" spans="1:5" x14ac:dyDescent="0.35">
      <c r="A11" s="2" t="s">
        <v>17</v>
      </c>
      <c r="B11">
        <v>761376</v>
      </c>
      <c r="C11">
        <v>379995</v>
      </c>
      <c r="D11">
        <v>397992</v>
      </c>
      <c r="E11">
        <v>1539363</v>
      </c>
    </row>
    <row r="12" spans="1:5" x14ac:dyDescent="0.35">
      <c r="A12" s="2" t="s">
        <v>18</v>
      </c>
      <c r="B12">
        <v>324450</v>
      </c>
      <c r="C12">
        <v>285516</v>
      </c>
      <c r="D12">
        <v>497490</v>
      </c>
      <c r="E12">
        <v>1107456</v>
      </c>
    </row>
    <row r="13" spans="1:5" x14ac:dyDescent="0.35">
      <c r="A13" s="2" t="s">
        <v>19</v>
      </c>
      <c r="B13">
        <v>86520</v>
      </c>
      <c r="C13">
        <v>147084</v>
      </c>
      <c r="E13">
        <v>233604</v>
      </c>
    </row>
    <row r="14" spans="1:5" x14ac:dyDescent="0.35">
      <c r="A14" s="2" t="s">
        <v>24</v>
      </c>
      <c r="B14">
        <v>6406806</v>
      </c>
      <c r="C14">
        <v>4978533</v>
      </c>
      <c r="D14">
        <v>3979920</v>
      </c>
      <c r="E14">
        <v>15365259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DDB8-CCE1-4864-8EBF-5EAA68B155A2}">
  <dimension ref="A3:E14"/>
  <sheetViews>
    <sheetView workbookViewId="0">
      <selection activeCell="S28" sqref="S28"/>
    </sheetView>
  </sheetViews>
  <sheetFormatPr defaultRowHeight="14.5" x14ac:dyDescent="0.35"/>
  <cols>
    <col min="1" max="1" width="13.1796875" bestFit="1" customWidth="1"/>
    <col min="2" max="2" width="16.26953125" bestFit="1" customWidth="1"/>
    <col min="3" max="4" width="5" bestFit="1" customWidth="1"/>
    <col min="5" max="5" width="11.26953125" bestFit="1" customWidth="1"/>
  </cols>
  <sheetData>
    <row r="3" spans="1:5" x14ac:dyDescent="0.35">
      <c r="A3" s="1" t="s">
        <v>22</v>
      </c>
      <c r="B3" s="1" t="s">
        <v>26</v>
      </c>
    </row>
    <row r="4" spans="1:5" x14ac:dyDescent="0.35">
      <c r="A4" s="1" t="s">
        <v>23</v>
      </c>
      <c r="B4">
        <v>2021</v>
      </c>
      <c r="C4">
        <v>2022</v>
      </c>
      <c r="D4">
        <v>2023</v>
      </c>
      <c r="E4" t="s">
        <v>24</v>
      </c>
    </row>
    <row r="5" spans="1:5" x14ac:dyDescent="0.35">
      <c r="A5" s="2" t="s">
        <v>11</v>
      </c>
      <c r="B5">
        <v>81</v>
      </c>
      <c r="C5">
        <v>49</v>
      </c>
      <c r="D5">
        <v>51</v>
      </c>
      <c r="E5">
        <v>181</v>
      </c>
    </row>
    <row r="6" spans="1:5" x14ac:dyDescent="0.35">
      <c r="A6" s="2" t="s">
        <v>12</v>
      </c>
      <c r="B6">
        <v>88</v>
      </c>
      <c r="C6">
        <v>117</v>
      </c>
      <c r="D6">
        <v>105</v>
      </c>
      <c r="E6">
        <v>310</v>
      </c>
    </row>
    <row r="7" spans="1:5" x14ac:dyDescent="0.35">
      <c r="A7" s="2" t="s">
        <v>13</v>
      </c>
      <c r="B7">
        <v>96</v>
      </c>
      <c r="C7">
        <v>50</v>
      </c>
      <c r="D7">
        <v>92</v>
      </c>
      <c r="E7">
        <v>238</v>
      </c>
    </row>
    <row r="8" spans="1:5" x14ac:dyDescent="0.35">
      <c r="A8" s="2" t="s">
        <v>14</v>
      </c>
      <c r="B8">
        <v>65</v>
      </c>
      <c r="C8">
        <v>103</v>
      </c>
      <c r="D8">
        <v>63</v>
      </c>
      <c r="E8">
        <v>231</v>
      </c>
    </row>
    <row r="9" spans="1:5" x14ac:dyDescent="0.35">
      <c r="A9" s="2" t="s">
        <v>15</v>
      </c>
      <c r="B9">
        <v>182</v>
      </c>
      <c r="C9">
        <v>95</v>
      </c>
      <c r="D9">
        <v>61</v>
      </c>
      <c r="E9">
        <v>338</v>
      </c>
    </row>
    <row r="10" spans="1:5" x14ac:dyDescent="0.35">
      <c r="A10" s="2" t="s">
        <v>16</v>
      </c>
      <c r="B10">
        <v>94</v>
      </c>
      <c r="C10">
        <v>83</v>
      </c>
      <c r="D10">
        <v>87</v>
      </c>
      <c r="E10">
        <v>264</v>
      </c>
    </row>
    <row r="11" spans="1:5" x14ac:dyDescent="0.35">
      <c r="A11" s="2" t="s">
        <v>17</v>
      </c>
      <c r="B11">
        <v>110</v>
      </c>
      <c r="C11">
        <v>76</v>
      </c>
      <c r="D11">
        <v>46</v>
      </c>
      <c r="E11">
        <v>232</v>
      </c>
    </row>
    <row r="12" spans="1:5" x14ac:dyDescent="0.35">
      <c r="A12" s="2" t="s">
        <v>18</v>
      </c>
      <c r="B12">
        <v>75</v>
      </c>
      <c r="C12">
        <v>66</v>
      </c>
      <c r="D12">
        <v>94</v>
      </c>
      <c r="E12">
        <v>235</v>
      </c>
    </row>
    <row r="13" spans="1:5" x14ac:dyDescent="0.35">
      <c r="A13" s="2" t="s">
        <v>19</v>
      </c>
      <c r="B13">
        <v>20</v>
      </c>
      <c r="C13">
        <v>34</v>
      </c>
      <c r="E13">
        <v>54</v>
      </c>
    </row>
    <row r="14" spans="1:5" x14ac:dyDescent="0.35">
      <c r="A14" s="2" t="s">
        <v>24</v>
      </c>
      <c r="B14">
        <v>811</v>
      </c>
      <c r="C14">
        <v>673</v>
      </c>
      <c r="D14">
        <v>599</v>
      </c>
      <c r="E14">
        <v>2083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7C0F-EDCC-4E25-B0F5-B41F080CB2F7}">
  <dimension ref="A3:I15"/>
  <sheetViews>
    <sheetView topLeftCell="A4" workbookViewId="0">
      <selection activeCell="B5" sqref="B5"/>
    </sheetView>
  </sheetViews>
  <sheetFormatPr defaultRowHeight="14.5" x14ac:dyDescent="0.35"/>
  <cols>
    <col min="1" max="1" width="13.1796875" bestFit="1" customWidth="1"/>
    <col min="2" max="2" width="16.26953125" bestFit="1" customWidth="1"/>
    <col min="3" max="3" width="12.7265625" bestFit="1" customWidth="1"/>
    <col min="4" max="4" width="6" bestFit="1" customWidth="1"/>
    <col min="5" max="5" width="12.7265625" bestFit="1" customWidth="1"/>
    <col min="6" max="6" width="6" bestFit="1" customWidth="1"/>
    <col min="7" max="7" width="12.7265625" bestFit="1" customWidth="1"/>
    <col min="8" max="8" width="10" bestFit="1" customWidth="1"/>
    <col min="9" max="9" width="17.81640625" bestFit="1" customWidth="1"/>
  </cols>
  <sheetData>
    <row r="3" spans="1:9" x14ac:dyDescent="0.35">
      <c r="B3" s="1" t="s">
        <v>26</v>
      </c>
    </row>
    <row r="4" spans="1:9" x14ac:dyDescent="0.35">
      <c r="B4">
        <v>2021</v>
      </c>
      <c r="D4">
        <v>2022</v>
      </c>
      <c r="F4">
        <v>2023</v>
      </c>
      <c r="H4" t="s">
        <v>29</v>
      </c>
      <c r="I4" t="s">
        <v>27</v>
      </c>
    </row>
    <row r="5" spans="1:9" x14ac:dyDescent="0.35">
      <c r="A5" s="1" t="s">
        <v>23</v>
      </c>
      <c r="B5" t="s">
        <v>30</v>
      </c>
      <c r="C5" t="s">
        <v>28</v>
      </c>
      <c r="D5" t="s">
        <v>30</v>
      </c>
      <c r="E5" t="s">
        <v>28</v>
      </c>
      <c r="F5" t="s">
        <v>30</v>
      </c>
      <c r="G5" t="s">
        <v>28</v>
      </c>
    </row>
    <row r="6" spans="1:9" x14ac:dyDescent="0.35">
      <c r="A6" s="2" t="s">
        <v>11</v>
      </c>
      <c r="B6">
        <v>1600</v>
      </c>
      <c r="C6">
        <v>10692</v>
      </c>
      <c r="D6">
        <v>1420</v>
      </c>
      <c r="E6">
        <v>5020</v>
      </c>
      <c r="F6">
        <v>3099</v>
      </c>
      <c r="G6">
        <v>11970</v>
      </c>
      <c r="H6">
        <v>6119</v>
      </c>
      <c r="I6">
        <v>27682</v>
      </c>
    </row>
    <row r="7" spans="1:9" x14ac:dyDescent="0.35">
      <c r="A7" s="2" t="s">
        <v>12</v>
      </c>
      <c r="B7">
        <v>2411.25</v>
      </c>
      <c r="C7">
        <v>6180</v>
      </c>
      <c r="D7">
        <v>3270</v>
      </c>
      <c r="E7">
        <v>11970</v>
      </c>
      <c r="F7">
        <v>3553</v>
      </c>
      <c r="G7">
        <v>11970</v>
      </c>
      <c r="H7">
        <v>9234.25</v>
      </c>
      <c r="I7">
        <v>30120</v>
      </c>
    </row>
    <row r="8" spans="1:9" x14ac:dyDescent="0.35">
      <c r="A8" s="2" t="s">
        <v>13</v>
      </c>
      <c r="B8">
        <v>3260</v>
      </c>
      <c r="C8">
        <v>11585</v>
      </c>
      <c r="D8">
        <v>1050</v>
      </c>
      <c r="E8">
        <v>5020</v>
      </c>
      <c r="F8">
        <v>2150</v>
      </c>
      <c r="G8">
        <v>8110</v>
      </c>
      <c r="H8">
        <v>6460</v>
      </c>
      <c r="I8">
        <v>24715</v>
      </c>
    </row>
    <row r="9" spans="1:9" x14ac:dyDescent="0.35">
      <c r="A9" s="2" t="s">
        <v>14</v>
      </c>
      <c r="B9">
        <v>2220</v>
      </c>
      <c r="C9">
        <v>8495</v>
      </c>
      <c r="D9">
        <v>3070</v>
      </c>
      <c r="E9">
        <v>14552</v>
      </c>
      <c r="F9">
        <v>2250</v>
      </c>
      <c r="G9">
        <v>8495</v>
      </c>
      <c r="H9">
        <v>7540</v>
      </c>
      <c r="I9">
        <v>31542</v>
      </c>
    </row>
    <row r="10" spans="1:9" x14ac:dyDescent="0.35">
      <c r="A10" s="2" t="s">
        <v>15</v>
      </c>
      <c r="B10">
        <v>2400</v>
      </c>
      <c r="C10">
        <v>27295</v>
      </c>
      <c r="D10">
        <v>2920</v>
      </c>
      <c r="E10">
        <v>17232</v>
      </c>
      <c r="F10">
        <v>2930</v>
      </c>
      <c r="G10">
        <v>10425</v>
      </c>
      <c r="H10">
        <v>8250</v>
      </c>
      <c r="I10">
        <v>54952</v>
      </c>
    </row>
    <row r="11" spans="1:9" x14ac:dyDescent="0.35">
      <c r="A11" s="2" t="s">
        <v>16</v>
      </c>
      <c r="B11">
        <v>2570</v>
      </c>
      <c r="C11">
        <v>8110</v>
      </c>
      <c r="D11">
        <v>2470</v>
      </c>
      <c r="E11">
        <v>8110</v>
      </c>
      <c r="F11">
        <v>3150</v>
      </c>
      <c r="G11">
        <v>8110</v>
      </c>
      <c r="H11">
        <v>8190</v>
      </c>
      <c r="I11">
        <v>24330</v>
      </c>
    </row>
    <row r="12" spans="1:9" x14ac:dyDescent="0.35">
      <c r="A12" s="2" t="s">
        <v>17</v>
      </c>
      <c r="B12">
        <v>2700</v>
      </c>
      <c r="C12">
        <v>13515</v>
      </c>
      <c r="D12">
        <v>2140</v>
      </c>
      <c r="E12">
        <v>6565</v>
      </c>
      <c r="F12">
        <v>1640</v>
      </c>
      <c r="G12">
        <v>6950</v>
      </c>
      <c r="H12">
        <v>6480</v>
      </c>
      <c r="I12">
        <v>27030</v>
      </c>
    </row>
    <row r="13" spans="1:9" x14ac:dyDescent="0.35">
      <c r="A13" s="2" t="s">
        <v>18</v>
      </c>
      <c r="B13">
        <v>1200</v>
      </c>
      <c r="C13">
        <v>4635</v>
      </c>
      <c r="D13">
        <v>1800</v>
      </c>
      <c r="E13">
        <v>4635</v>
      </c>
      <c r="F13">
        <v>2430</v>
      </c>
      <c r="G13">
        <v>8110</v>
      </c>
      <c r="H13">
        <v>5430</v>
      </c>
      <c r="I13">
        <v>17380</v>
      </c>
    </row>
    <row r="14" spans="1:9" x14ac:dyDescent="0.35">
      <c r="A14" s="2" t="s">
        <v>19</v>
      </c>
      <c r="B14">
        <v>600</v>
      </c>
      <c r="C14">
        <v>1545</v>
      </c>
      <c r="D14">
        <v>1200</v>
      </c>
      <c r="E14">
        <v>3090</v>
      </c>
      <c r="H14">
        <v>1800</v>
      </c>
      <c r="I14">
        <v>4635</v>
      </c>
    </row>
    <row r="15" spans="1:9" x14ac:dyDescent="0.35">
      <c r="A15" s="2" t="s">
        <v>24</v>
      </c>
      <c r="B15">
        <v>18961.25</v>
      </c>
      <c r="C15">
        <v>92052</v>
      </c>
      <c r="D15">
        <v>19340</v>
      </c>
      <c r="E15">
        <v>76194</v>
      </c>
      <c r="F15">
        <v>21202</v>
      </c>
      <c r="G15">
        <v>74140</v>
      </c>
      <c r="H15">
        <v>59503.25</v>
      </c>
      <c r="I15">
        <v>242386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7E66-1B75-4F19-B993-6DD5FAECBDC0}">
  <dimension ref="A3:E5"/>
  <sheetViews>
    <sheetView tabSelected="1" workbookViewId="0">
      <selection activeCell="Z36" sqref="Z36"/>
    </sheetView>
  </sheetViews>
  <sheetFormatPr defaultRowHeight="14.5" x14ac:dyDescent="0.35"/>
  <cols>
    <col min="1" max="1" width="15.81640625" bestFit="1" customWidth="1"/>
    <col min="2" max="2" width="16.26953125" bestFit="1" customWidth="1"/>
    <col min="3" max="4" width="8" bestFit="1" customWidth="1"/>
    <col min="5" max="5" width="11.26953125" bestFit="1" customWidth="1"/>
  </cols>
  <sheetData>
    <row r="3" spans="1:5" x14ac:dyDescent="0.35">
      <c r="B3" s="1" t="s">
        <v>26</v>
      </c>
    </row>
    <row r="4" spans="1:5" x14ac:dyDescent="0.35">
      <c r="B4">
        <v>2021</v>
      </c>
      <c r="C4">
        <v>2022</v>
      </c>
      <c r="D4">
        <v>2023</v>
      </c>
      <c r="E4" t="s">
        <v>24</v>
      </c>
    </row>
    <row r="5" spans="1:5" x14ac:dyDescent="0.35">
      <c r="A5" t="s">
        <v>25</v>
      </c>
      <c r="B5">
        <v>6601476</v>
      </c>
      <c r="C5">
        <v>4978533</v>
      </c>
      <c r="D5">
        <v>3979920</v>
      </c>
      <c r="E5">
        <v>15559929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7C0F-9D14-4645-BA12-97257BDBD5C8}">
  <dimension ref="A3:H6"/>
  <sheetViews>
    <sheetView workbookViewId="0">
      <selection activeCell="A5" sqref="A5:J6"/>
    </sheetView>
  </sheetViews>
  <sheetFormatPr defaultRowHeight="14.5" x14ac:dyDescent="0.35"/>
  <cols>
    <col min="1" max="6" width="19.54296875" bestFit="1" customWidth="1"/>
    <col min="7" max="7" width="24.453125" bestFit="1" customWidth="1"/>
    <col min="8" max="8" width="24.54296875" bestFit="1" customWidth="1"/>
    <col min="9" max="9" width="24.453125" bestFit="1" customWidth="1"/>
    <col min="10" max="10" width="24.54296875" bestFit="1" customWidth="1"/>
    <col min="11" max="12" width="19.54296875" bestFit="1" customWidth="1"/>
    <col min="13" max="13" width="24.453125" bestFit="1" customWidth="1"/>
    <col min="14" max="14" width="24.54296875" bestFit="1" customWidth="1"/>
    <col min="15" max="15" width="20.81640625" bestFit="1" customWidth="1"/>
  </cols>
  <sheetData>
    <row r="3" spans="1:8" x14ac:dyDescent="0.35">
      <c r="A3" s="1" t="s">
        <v>26</v>
      </c>
    </row>
    <row r="4" spans="1:8" x14ac:dyDescent="0.35">
      <c r="A4">
        <v>2021</v>
      </c>
      <c r="C4">
        <v>2022</v>
      </c>
      <c r="E4">
        <v>2023</v>
      </c>
      <c r="G4" t="s">
        <v>36</v>
      </c>
      <c r="H4" t="s">
        <v>37</v>
      </c>
    </row>
    <row r="5" spans="1:8" x14ac:dyDescent="0.35">
      <c r="A5" t="s">
        <v>35</v>
      </c>
      <c r="B5" t="s">
        <v>38</v>
      </c>
      <c r="C5" t="s">
        <v>35</v>
      </c>
      <c r="D5" t="s">
        <v>38</v>
      </c>
      <c r="E5" t="s">
        <v>35</v>
      </c>
      <c r="F5" t="s">
        <v>38</v>
      </c>
    </row>
    <row r="6" spans="1:8" x14ac:dyDescent="0.35">
      <c r="A6">
        <v>5708026.5278399996</v>
      </c>
      <c r="B6">
        <v>6659364.2824799996</v>
      </c>
      <c r="C6">
        <v>4356116.8043399993</v>
      </c>
      <c r="D6">
        <v>5082136.2717299992</v>
      </c>
      <c r="E6">
        <v>3115189.5440399996</v>
      </c>
      <c r="F6">
        <v>3634387.8013799991</v>
      </c>
      <c r="G6">
        <v>13179332.876219999</v>
      </c>
      <c r="H6">
        <v>15375888.355589999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4BB4-FD9F-4289-AED7-959387DFCDFC}">
  <dimension ref="A3:H6"/>
  <sheetViews>
    <sheetView workbookViewId="0">
      <selection activeCell="B31" sqref="B31"/>
    </sheetView>
  </sheetViews>
  <sheetFormatPr defaultRowHeight="14.5" x14ac:dyDescent="0.35"/>
  <cols>
    <col min="1" max="6" width="16.7265625" bestFit="1" customWidth="1"/>
    <col min="7" max="7" width="21.7265625" bestFit="1" customWidth="1"/>
    <col min="8" max="8" width="21.81640625" bestFit="1" customWidth="1"/>
  </cols>
  <sheetData>
    <row r="3" spans="1:8" x14ac:dyDescent="0.35">
      <c r="A3" s="1" t="s">
        <v>26</v>
      </c>
    </row>
    <row r="4" spans="1:8" x14ac:dyDescent="0.35">
      <c r="A4">
        <v>2021</v>
      </c>
      <c r="C4">
        <v>2022</v>
      </c>
      <c r="E4">
        <v>2023</v>
      </c>
      <c r="G4" t="s">
        <v>42</v>
      </c>
      <c r="H4" t="s">
        <v>43</v>
      </c>
    </row>
    <row r="5" spans="1:8" x14ac:dyDescent="0.35">
      <c r="A5" t="s">
        <v>41</v>
      </c>
      <c r="B5" t="s">
        <v>44</v>
      </c>
      <c r="C5" t="s">
        <v>41</v>
      </c>
      <c r="D5" t="s">
        <v>44</v>
      </c>
      <c r="E5" t="s">
        <v>41</v>
      </c>
      <c r="F5" t="s">
        <v>44</v>
      </c>
    </row>
    <row r="6" spans="1:8" x14ac:dyDescent="0.35">
      <c r="A6">
        <v>71350.331598000004</v>
      </c>
      <c r="B6">
        <v>83242.053530999998</v>
      </c>
      <c r="C6">
        <v>54451.460054249997</v>
      </c>
      <c r="D6">
        <v>63526.703396624995</v>
      </c>
      <c r="E6">
        <v>38939.869300499995</v>
      </c>
      <c r="F6">
        <v>45429.847517249989</v>
      </c>
      <c r="G6">
        <v>164741.66095275001</v>
      </c>
      <c r="H6">
        <v>192198.60444487497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31B0-6143-43FD-957E-2DBAA427BFB4}">
  <dimension ref="A3:L6"/>
  <sheetViews>
    <sheetView workbookViewId="0">
      <selection activeCell="E55" sqref="E55"/>
    </sheetView>
  </sheetViews>
  <sheetFormatPr defaultRowHeight="14.5" x14ac:dyDescent="0.35"/>
  <cols>
    <col min="1" max="9" width="19.54296875" bestFit="1" customWidth="1"/>
    <col min="10" max="10" width="24.453125" bestFit="1" customWidth="1"/>
    <col min="11" max="11" width="24.54296875" bestFit="1" customWidth="1"/>
    <col min="12" max="12" width="18" bestFit="1" customWidth="1"/>
    <col min="13" max="13" width="24.453125" bestFit="1" customWidth="1"/>
    <col min="14" max="14" width="24.54296875" bestFit="1" customWidth="1"/>
    <col min="15" max="15" width="18" bestFit="1" customWidth="1"/>
  </cols>
  <sheetData>
    <row r="3" spans="1:12" x14ac:dyDescent="0.35">
      <c r="A3" s="1" t="s">
        <v>26</v>
      </c>
    </row>
    <row r="4" spans="1:12" x14ac:dyDescent="0.35">
      <c r="A4">
        <v>2021</v>
      </c>
      <c r="D4">
        <v>2022</v>
      </c>
      <c r="G4">
        <v>2023</v>
      </c>
      <c r="J4" t="s">
        <v>36</v>
      </c>
      <c r="K4" t="s">
        <v>37</v>
      </c>
      <c r="L4" t="s">
        <v>47</v>
      </c>
    </row>
    <row r="5" spans="1:12" x14ac:dyDescent="0.35">
      <c r="A5" t="s">
        <v>35</v>
      </c>
      <c r="B5" t="s">
        <v>38</v>
      </c>
      <c r="C5" t="s">
        <v>46</v>
      </c>
      <c r="D5" t="s">
        <v>35</v>
      </c>
      <c r="E5" t="s">
        <v>38</v>
      </c>
      <c r="F5" t="s">
        <v>46</v>
      </c>
      <c r="G5" t="s">
        <v>35</v>
      </c>
      <c r="H5" t="s">
        <v>38</v>
      </c>
      <c r="I5" t="s">
        <v>46</v>
      </c>
    </row>
    <row r="6" spans="1:12" x14ac:dyDescent="0.35">
      <c r="A6">
        <v>5708026.5278399996</v>
      </c>
      <c r="B6">
        <v>6659364.2824799996</v>
      </c>
      <c r="C6">
        <v>6523608</v>
      </c>
      <c r="D6">
        <v>4356116.8043399993</v>
      </c>
      <c r="E6">
        <v>5082136.2717299992</v>
      </c>
      <c r="F6">
        <v>4978533</v>
      </c>
      <c r="G6">
        <v>3550483.3442399995</v>
      </c>
      <c r="H6">
        <v>4142230.5682799993</v>
      </c>
      <c r="I6">
        <v>4057788</v>
      </c>
      <c r="J6">
        <v>13614626.676419999</v>
      </c>
      <c r="K6">
        <v>15883731.12249</v>
      </c>
      <c r="L6">
        <v>15559929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topLeftCell="C4" zoomScaleNormal="100" workbookViewId="0">
      <selection activeCell="R39" sqref="R39"/>
    </sheetView>
  </sheetViews>
  <sheetFormatPr defaultColWidth="8.54296875" defaultRowHeight="14.5" x14ac:dyDescent="0.35"/>
  <cols>
    <col min="1" max="1" width="15.26953125" customWidth="1"/>
    <col min="2" max="2" width="10.54296875" customWidth="1"/>
    <col min="3" max="3" width="16" customWidth="1"/>
    <col min="4" max="4" width="20.7265625" customWidth="1"/>
    <col min="5" max="5" width="12.7265625" customWidth="1"/>
    <col min="6" max="6" width="17.26953125" customWidth="1"/>
    <col min="7" max="7" width="17.7265625" customWidth="1"/>
    <col min="8" max="8" width="57.7265625" customWidth="1"/>
    <col min="9" max="9" width="39.54296875" customWidth="1"/>
    <col min="10" max="10" width="33.7265625" customWidth="1"/>
    <col min="12" max="12" width="14.1796875" customWidth="1"/>
    <col min="13" max="13" width="58.54296875" customWidth="1"/>
    <col min="16" max="16" width="12.17968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  <c r="M1" t="s">
        <v>45</v>
      </c>
      <c r="N1" t="s">
        <v>31</v>
      </c>
      <c r="O1" t="s">
        <v>32</v>
      </c>
      <c r="P1" t="s">
        <v>33</v>
      </c>
      <c r="Q1" t="s">
        <v>34</v>
      </c>
      <c r="R1" t="s">
        <v>39</v>
      </c>
      <c r="S1" t="s">
        <v>40</v>
      </c>
      <c r="U1" t="s">
        <v>48</v>
      </c>
      <c r="V1" t="s">
        <v>49</v>
      </c>
      <c r="W1" t="s">
        <v>50</v>
      </c>
      <c r="Y1" t="s">
        <v>51</v>
      </c>
      <c r="Z1" t="s">
        <v>52</v>
      </c>
      <c r="AA1" t="s">
        <v>53</v>
      </c>
    </row>
    <row r="2" spans="1:27" x14ac:dyDescent="0.35">
      <c r="A2">
        <v>2</v>
      </c>
      <c r="B2">
        <v>29</v>
      </c>
      <c r="C2">
        <v>820</v>
      </c>
      <c r="D2">
        <v>3106</v>
      </c>
      <c r="E2">
        <v>369</v>
      </c>
      <c r="F2">
        <f>D2+E2</f>
        <v>3475</v>
      </c>
      <c r="G2" t="s">
        <v>11</v>
      </c>
      <c r="H2">
        <f>B2*21</f>
        <v>609</v>
      </c>
      <c r="I2">
        <f>A2*H2*206</f>
        <v>250908</v>
      </c>
      <c r="J2">
        <f>I2*0.89</f>
        <v>223308.12</v>
      </c>
      <c r="K2">
        <f>C2/B2</f>
        <v>28.275862068965516</v>
      </c>
      <c r="L2">
        <v>2022</v>
      </c>
      <c r="N2">
        <f>SUM(I2:I36)</f>
        <v>4978533</v>
      </c>
      <c r="O2">
        <v>2022</v>
      </c>
      <c r="P2">
        <f>N2*0.6*1.4583</f>
        <v>4356116.8043399993</v>
      </c>
      <c r="Q2">
        <f>N2*0.7*1.4583</f>
        <v>5082136.2717299992</v>
      </c>
      <c r="R2">
        <f t="shared" ref="R2:S4" si="0">P2*0.0125</f>
        <v>54451.460054249997</v>
      </c>
      <c r="S2">
        <f t="shared" si="0"/>
        <v>63526.703396624995</v>
      </c>
      <c r="U2">
        <v>5708026</v>
      </c>
      <c r="V2">
        <v>4978533</v>
      </c>
      <c r="W2">
        <v>4057788</v>
      </c>
      <c r="Y2">
        <f>N4*0.0125</f>
        <v>81545.100000000006</v>
      </c>
      <c r="Z2">
        <f>N2*0.0125</f>
        <v>62231.662500000006</v>
      </c>
      <c r="AA2">
        <f>N3*0.0125</f>
        <v>50722.350000000006</v>
      </c>
    </row>
    <row r="3" spans="1:27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  <c r="H3">
        <v>0</v>
      </c>
      <c r="I3">
        <v>0</v>
      </c>
      <c r="J3">
        <v>0</v>
      </c>
      <c r="K3">
        <v>0</v>
      </c>
      <c r="L3">
        <v>2022</v>
      </c>
      <c r="N3">
        <f>SUM(I37:I61)+SUM(I96:I99)</f>
        <v>4057788</v>
      </c>
      <c r="O3">
        <v>2023</v>
      </c>
      <c r="P3">
        <f>N3*0.6*1.4583</f>
        <v>3550483.3442399995</v>
      </c>
      <c r="Q3">
        <f>N3*0.7*1.4583</f>
        <v>4142230.5682799993</v>
      </c>
      <c r="R3">
        <f t="shared" si="0"/>
        <v>44381.041803</v>
      </c>
      <c r="S3">
        <f t="shared" si="0"/>
        <v>51777.882103499993</v>
      </c>
      <c r="U3">
        <v>6523608</v>
      </c>
      <c r="V3">
        <v>4356116</v>
      </c>
      <c r="W3">
        <v>3550483</v>
      </c>
      <c r="Y3">
        <v>71350</v>
      </c>
      <c r="Z3">
        <v>54451</v>
      </c>
      <c r="AA3">
        <v>44381</v>
      </c>
    </row>
    <row r="4" spans="1:27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11</v>
      </c>
      <c r="H4">
        <v>0</v>
      </c>
      <c r="I4">
        <v>0</v>
      </c>
      <c r="J4">
        <v>0</v>
      </c>
      <c r="K4">
        <v>0</v>
      </c>
      <c r="L4">
        <v>2022</v>
      </c>
      <c r="N4">
        <f>SUM(I62:I95)</f>
        <v>6523608</v>
      </c>
      <c r="O4">
        <v>2021</v>
      </c>
      <c r="P4">
        <f>N4*0.6*1.4583</f>
        <v>5708026.5278399996</v>
      </c>
      <c r="Q4">
        <f>N4*0.7*1.4583</f>
        <v>6659364.2824799996</v>
      </c>
      <c r="R4">
        <f t="shared" si="0"/>
        <v>71350.331598000004</v>
      </c>
      <c r="S4">
        <f t="shared" si="0"/>
        <v>83242.053530999998</v>
      </c>
      <c r="U4">
        <v>6659364</v>
      </c>
      <c r="V4">
        <v>5082136</v>
      </c>
      <c r="W4">
        <v>4142231</v>
      </c>
      <c r="Y4">
        <v>83242</v>
      </c>
      <c r="Z4">
        <v>63526</v>
      </c>
      <c r="AA4">
        <v>51777</v>
      </c>
    </row>
    <row r="5" spans="1:27" x14ac:dyDescent="0.35">
      <c r="A5">
        <v>1</v>
      </c>
      <c r="B5">
        <v>20</v>
      </c>
      <c r="C5">
        <v>600</v>
      </c>
      <c r="D5">
        <v>1326</v>
      </c>
      <c r="E5">
        <v>219</v>
      </c>
      <c r="F5">
        <f>D5+E5</f>
        <v>1545</v>
      </c>
      <c r="G5" t="s">
        <v>11</v>
      </c>
      <c r="H5">
        <f>B5*21</f>
        <v>420</v>
      </c>
      <c r="I5">
        <f>A5*H5*206</f>
        <v>86520</v>
      </c>
      <c r="J5">
        <f t="shared" ref="J5:J10" si="1">I5*0.89</f>
        <v>77002.8</v>
      </c>
      <c r="K5">
        <f>C5/B5</f>
        <v>30</v>
      </c>
      <c r="L5">
        <v>2022</v>
      </c>
    </row>
    <row r="6" spans="1:27" x14ac:dyDescent="0.35">
      <c r="A6">
        <v>2</v>
      </c>
      <c r="B6">
        <v>26</v>
      </c>
      <c r="C6">
        <v>900</v>
      </c>
      <c r="D6">
        <v>3106</v>
      </c>
      <c r="E6">
        <v>369</v>
      </c>
      <c r="F6">
        <v>3475</v>
      </c>
      <c r="G6" t="s">
        <v>12</v>
      </c>
      <c r="H6">
        <f>B6*21</f>
        <v>546</v>
      </c>
      <c r="I6">
        <f>A6*H6*206</f>
        <v>224952</v>
      </c>
      <c r="J6">
        <f t="shared" si="1"/>
        <v>200207.28</v>
      </c>
      <c r="K6">
        <f>C6/B6</f>
        <v>34.615384615384613</v>
      </c>
      <c r="L6">
        <v>2022</v>
      </c>
    </row>
    <row r="7" spans="1:27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>
        <v>0</v>
      </c>
      <c r="I7">
        <v>0</v>
      </c>
      <c r="J7">
        <f t="shared" si="1"/>
        <v>0</v>
      </c>
      <c r="K7">
        <v>0</v>
      </c>
      <c r="L7">
        <v>2022</v>
      </c>
    </row>
    <row r="8" spans="1:27" x14ac:dyDescent="0.35">
      <c r="A8">
        <v>1</v>
      </c>
      <c r="B8">
        <v>23</v>
      </c>
      <c r="C8">
        <v>600</v>
      </c>
      <c r="D8">
        <v>1326</v>
      </c>
      <c r="E8">
        <v>219</v>
      </c>
      <c r="F8">
        <v>1545</v>
      </c>
      <c r="G8" t="s">
        <v>12</v>
      </c>
      <c r="H8">
        <f>B8*21</f>
        <v>483</v>
      </c>
      <c r="I8">
        <f>A8*H8*206</f>
        <v>99498</v>
      </c>
      <c r="J8">
        <f t="shared" si="1"/>
        <v>88553.22</v>
      </c>
      <c r="K8">
        <f>C8/B8</f>
        <v>26.086956521739129</v>
      </c>
      <c r="L8">
        <v>2022</v>
      </c>
    </row>
    <row r="9" spans="1:27" x14ac:dyDescent="0.35">
      <c r="A9">
        <v>2</v>
      </c>
      <c r="B9">
        <v>36</v>
      </c>
      <c r="C9">
        <v>870</v>
      </c>
      <c r="D9">
        <v>3106</v>
      </c>
      <c r="E9">
        <v>369</v>
      </c>
      <c r="F9">
        <v>3475</v>
      </c>
      <c r="G9" t="s">
        <v>12</v>
      </c>
      <c r="H9">
        <f>B9*21</f>
        <v>756</v>
      </c>
      <c r="I9">
        <f>A9*H9*206</f>
        <v>311472</v>
      </c>
      <c r="J9">
        <f t="shared" si="1"/>
        <v>277210.08</v>
      </c>
      <c r="K9">
        <f>C9/B9</f>
        <v>24.166666666666668</v>
      </c>
      <c r="L9">
        <v>2022</v>
      </c>
    </row>
    <row r="10" spans="1:27" x14ac:dyDescent="0.35">
      <c r="A10">
        <v>2</v>
      </c>
      <c r="B10">
        <v>32</v>
      </c>
      <c r="C10">
        <v>900</v>
      </c>
      <c r="D10">
        <v>3106</v>
      </c>
      <c r="E10">
        <v>369</v>
      </c>
      <c r="F10">
        <v>3475</v>
      </c>
      <c r="G10" t="s">
        <v>12</v>
      </c>
      <c r="H10">
        <f>B10*21</f>
        <v>672</v>
      </c>
      <c r="I10">
        <f>A10*H10*206</f>
        <v>276864</v>
      </c>
      <c r="J10">
        <f t="shared" si="1"/>
        <v>246408.95999999999</v>
      </c>
      <c r="K10">
        <f>C10/B10</f>
        <v>28.125</v>
      </c>
      <c r="L10">
        <v>2022</v>
      </c>
    </row>
    <row r="11" spans="1:27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13</v>
      </c>
      <c r="H11">
        <v>0</v>
      </c>
      <c r="I11">
        <v>0</v>
      </c>
      <c r="J11">
        <v>0</v>
      </c>
      <c r="K11">
        <v>0</v>
      </c>
      <c r="L11">
        <v>2022</v>
      </c>
    </row>
    <row r="12" spans="1:27" x14ac:dyDescent="0.35">
      <c r="A12">
        <v>1</v>
      </c>
      <c r="B12">
        <v>28</v>
      </c>
      <c r="C12">
        <v>600</v>
      </c>
      <c r="D12">
        <v>1326</v>
      </c>
      <c r="E12">
        <v>219</v>
      </c>
      <c r="F12">
        <v>1545</v>
      </c>
      <c r="G12" t="s">
        <v>13</v>
      </c>
      <c r="H12">
        <f>B12*21</f>
        <v>588</v>
      </c>
      <c r="I12">
        <f>A12*H12*206</f>
        <v>121128</v>
      </c>
      <c r="J12">
        <f>I12*0.89</f>
        <v>107803.92</v>
      </c>
      <c r="K12">
        <f>C12/B12</f>
        <v>21.428571428571427</v>
      </c>
      <c r="L12">
        <v>2022</v>
      </c>
    </row>
    <row r="13" spans="1:27" x14ac:dyDescent="0.35">
      <c r="A13">
        <v>2</v>
      </c>
      <c r="B13">
        <v>22</v>
      </c>
      <c r="C13">
        <v>450</v>
      </c>
      <c r="D13">
        <f>D2</f>
        <v>3106</v>
      </c>
      <c r="E13">
        <f>E2</f>
        <v>369</v>
      </c>
      <c r="F13">
        <f>D13+E13</f>
        <v>3475</v>
      </c>
      <c r="G13" t="s">
        <v>13</v>
      </c>
      <c r="H13">
        <f>B13*21</f>
        <v>462</v>
      </c>
      <c r="I13">
        <f>A13*H13*206</f>
        <v>190344</v>
      </c>
      <c r="J13">
        <f>I13*0.89</f>
        <v>169406.16</v>
      </c>
      <c r="K13">
        <f>C13/B13</f>
        <v>20.454545454545453</v>
      </c>
      <c r="L13">
        <v>2022</v>
      </c>
    </row>
    <row r="14" spans="1:27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13</v>
      </c>
      <c r="H14">
        <v>0</v>
      </c>
      <c r="I14">
        <v>0</v>
      </c>
      <c r="J14">
        <v>0</v>
      </c>
      <c r="K14">
        <v>0</v>
      </c>
      <c r="L14">
        <v>2022</v>
      </c>
    </row>
    <row r="15" spans="1:27" x14ac:dyDescent="0.35">
      <c r="A15">
        <v>2</v>
      </c>
      <c r="B15">
        <v>28</v>
      </c>
      <c r="C15">
        <v>600</v>
      </c>
      <c r="D15">
        <f>D2</f>
        <v>3106</v>
      </c>
      <c r="E15">
        <f>E2</f>
        <v>369</v>
      </c>
      <c r="F15">
        <f>F2</f>
        <v>3475</v>
      </c>
      <c r="G15" t="s">
        <v>14</v>
      </c>
      <c r="H15">
        <f>B15*21</f>
        <v>588</v>
      </c>
      <c r="I15">
        <f>A15*H15*206</f>
        <v>242256</v>
      </c>
      <c r="J15">
        <f t="shared" ref="J15:J27" si="2">I15*0.89</f>
        <v>215607.84</v>
      </c>
      <c r="K15">
        <f>C15/B15</f>
        <v>21.428571428571427</v>
      </c>
      <c r="L15">
        <v>2022</v>
      </c>
    </row>
    <row r="16" spans="1:27" x14ac:dyDescent="0.35">
      <c r="A16">
        <v>2</v>
      </c>
      <c r="B16">
        <v>22</v>
      </c>
      <c r="C16">
        <v>870</v>
      </c>
      <c r="D16">
        <f>D2</f>
        <v>3106</v>
      </c>
      <c r="E16">
        <f>E2</f>
        <v>369</v>
      </c>
      <c r="F16">
        <f>F2</f>
        <v>3475</v>
      </c>
      <c r="G16" t="s">
        <v>14</v>
      </c>
      <c r="H16">
        <f>B16*21</f>
        <v>462</v>
      </c>
      <c r="I16">
        <f>A16*H16*206</f>
        <v>190344</v>
      </c>
      <c r="J16">
        <f t="shared" si="2"/>
        <v>169406.16</v>
      </c>
      <c r="K16">
        <f>C16/B16</f>
        <v>39.545454545454547</v>
      </c>
      <c r="L16">
        <v>2022</v>
      </c>
    </row>
    <row r="17" spans="1:12" x14ac:dyDescent="0.35">
      <c r="A17">
        <v>3</v>
      </c>
      <c r="B17">
        <v>24</v>
      </c>
      <c r="C17">
        <v>1000</v>
      </c>
      <c r="D17">
        <v>5482</v>
      </c>
      <c r="E17">
        <v>575</v>
      </c>
      <c r="F17">
        <f>D17+E17</f>
        <v>6057</v>
      </c>
      <c r="G17" t="s">
        <v>14</v>
      </c>
      <c r="H17">
        <f>B17*21</f>
        <v>504</v>
      </c>
      <c r="I17">
        <f>A17*H17*206</f>
        <v>311472</v>
      </c>
      <c r="J17">
        <f t="shared" si="2"/>
        <v>277210.08</v>
      </c>
      <c r="K17">
        <f>C17/B17</f>
        <v>41.666666666666664</v>
      </c>
      <c r="L17">
        <v>2022</v>
      </c>
    </row>
    <row r="18" spans="1:12" x14ac:dyDescent="0.35">
      <c r="A18">
        <v>1</v>
      </c>
      <c r="B18">
        <v>29</v>
      </c>
      <c r="C18">
        <v>600</v>
      </c>
      <c r="D18">
        <f>D5</f>
        <v>1326</v>
      </c>
      <c r="E18">
        <f>E5</f>
        <v>219</v>
      </c>
      <c r="F18">
        <f>F5</f>
        <v>1545</v>
      </c>
      <c r="G18" t="s">
        <v>14</v>
      </c>
      <c r="H18">
        <f>B18*21</f>
        <v>609</v>
      </c>
      <c r="I18">
        <f>A18*H18*206</f>
        <v>125454</v>
      </c>
      <c r="J18">
        <f t="shared" si="2"/>
        <v>111654.06</v>
      </c>
      <c r="K18">
        <f>C18/B18</f>
        <v>20.689655172413794</v>
      </c>
      <c r="L18">
        <v>2022</v>
      </c>
    </row>
    <row r="19" spans="1:12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15</v>
      </c>
      <c r="H19">
        <v>0</v>
      </c>
      <c r="I19">
        <v>0</v>
      </c>
      <c r="J19">
        <f t="shared" si="2"/>
        <v>0</v>
      </c>
      <c r="K19">
        <v>0</v>
      </c>
      <c r="L19">
        <v>2022</v>
      </c>
    </row>
    <row r="20" spans="1:12" x14ac:dyDescent="0.35">
      <c r="A20">
        <v>3</v>
      </c>
      <c r="B20">
        <v>26</v>
      </c>
      <c r="C20">
        <v>870</v>
      </c>
      <c r="D20">
        <f>D17</f>
        <v>5482</v>
      </c>
      <c r="E20">
        <f>E17</f>
        <v>575</v>
      </c>
      <c r="F20">
        <f>F17</f>
        <v>6057</v>
      </c>
      <c r="G20" t="s">
        <v>15</v>
      </c>
      <c r="H20">
        <f t="shared" ref="H20:H27" si="3">B20*21</f>
        <v>546</v>
      </c>
      <c r="I20">
        <f t="shared" ref="I20:I27" si="4">A20*H20*206</f>
        <v>337428</v>
      </c>
      <c r="J20">
        <f t="shared" si="2"/>
        <v>300310.92</v>
      </c>
      <c r="K20">
        <f t="shared" ref="K20:K27" si="5">C20/B20</f>
        <v>33.46153846153846</v>
      </c>
      <c r="L20">
        <v>2022</v>
      </c>
    </row>
    <row r="21" spans="1:12" x14ac:dyDescent="0.35">
      <c r="A21">
        <v>2</v>
      </c>
      <c r="B21">
        <v>26</v>
      </c>
      <c r="C21">
        <v>1050</v>
      </c>
      <c r="D21">
        <f>D2</f>
        <v>3106</v>
      </c>
      <c r="E21">
        <f>E2</f>
        <v>369</v>
      </c>
      <c r="F21">
        <f>F2</f>
        <v>3475</v>
      </c>
      <c r="G21" t="s">
        <v>15</v>
      </c>
      <c r="H21">
        <f t="shared" si="3"/>
        <v>546</v>
      </c>
      <c r="I21">
        <f t="shared" si="4"/>
        <v>224952</v>
      </c>
      <c r="J21">
        <f t="shared" si="2"/>
        <v>200207.28</v>
      </c>
      <c r="K21">
        <f t="shared" si="5"/>
        <v>40.384615384615387</v>
      </c>
      <c r="L21">
        <v>2022</v>
      </c>
    </row>
    <row r="22" spans="1:12" x14ac:dyDescent="0.35">
      <c r="A22">
        <v>4</v>
      </c>
      <c r="B22">
        <v>43</v>
      </c>
      <c r="C22">
        <v>1000</v>
      </c>
      <c r="D22">
        <v>7000</v>
      </c>
      <c r="E22">
        <v>700</v>
      </c>
      <c r="F22">
        <f>D22+E22</f>
        <v>7700</v>
      </c>
      <c r="G22" t="s">
        <v>15</v>
      </c>
      <c r="H22">
        <f t="shared" si="3"/>
        <v>903</v>
      </c>
      <c r="I22">
        <f t="shared" si="4"/>
        <v>744072</v>
      </c>
      <c r="J22">
        <f t="shared" si="2"/>
        <v>662224.07999999996</v>
      </c>
      <c r="K22">
        <f t="shared" si="5"/>
        <v>23.255813953488371</v>
      </c>
      <c r="L22">
        <v>2022</v>
      </c>
    </row>
    <row r="23" spans="1:12" x14ac:dyDescent="0.35">
      <c r="A23">
        <v>1</v>
      </c>
      <c r="B23">
        <v>28</v>
      </c>
      <c r="C23">
        <v>600</v>
      </c>
      <c r="D23">
        <f>D5</f>
        <v>1326</v>
      </c>
      <c r="E23">
        <f>E5</f>
        <v>219</v>
      </c>
      <c r="F23">
        <f>F5</f>
        <v>1545</v>
      </c>
      <c r="G23" t="s">
        <v>16</v>
      </c>
      <c r="H23">
        <f t="shared" si="3"/>
        <v>588</v>
      </c>
      <c r="I23">
        <f t="shared" si="4"/>
        <v>121128</v>
      </c>
      <c r="J23">
        <f t="shared" si="2"/>
        <v>107803.92</v>
      </c>
      <c r="K23">
        <f t="shared" si="5"/>
        <v>21.428571428571427</v>
      </c>
      <c r="L23">
        <v>2022</v>
      </c>
    </row>
    <row r="24" spans="1:12" x14ac:dyDescent="0.35">
      <c r="A24">
        <v>1</v>
      </c>
      <c r="B24">
        <v>19</v>
      </c>
      <c r="C24">
        <v>400</v>
      </c>
      <c r="D24">
        <f>D5</f>
        <v>1326</v>
      </c>
      <c r="E24">
        <f>E5</f>
        <v>219</v>
      </c>
      <c r="F24">
        <f>F5</f>
        <v>1545</v>
      </c>
      <c r="G24" t="s">
        <v>16</v>
      </c>
      <c r="H24">
        <f t="shared" si="3"/>
        <v>399</v>
      </c>
      <c r="I24">
        <f t="shared" si="4"/>
        <v>82194</v>
      </c>
      <c r="J24">
        <f t="shared" si="2"/>
        <v>73152.66</v>
      </c>
      <c r="K24">
        <f t="shared" si="5"/>
        <v>21.05263157894737</v>
      </c>
      <c r="L24">
        <v>2022</v>
      </c>
    </row>
    <row r="25" spans="1:12" x14ac:dyDescent="0.35">
      <c r="A25">
        <v>2</v>
      </c>
      <c r="B25">
        <v>16</v>
      </c>
      <c r="C25">
        <v>870</v>
      </c>
      <c r="D25">
        <f>D2</f>
        <v>3106</v>
      </c>
      <c r="E25">
        <f>E2</f>
        <v>369</v>
      </c>
      <c r="F25">
        <f>F2</f>
        <v>3475</v>
      </c>
      <c r="G25" t="s">
        <v>16</v>
      </c>
      <c r="H25">
        <f t="shared" si="3"/>
        <v>336</v>
      </c>
      <c r="I25">
        <f t="shared" si="4"/>
        <v>138432</v>
      </c>
      <c r="J25">
        <f t="shared" si="2"/>
        <v>123204.48</v>
      </c>
      <c r="K25">
        <f t="shared" si="5"/>
        <v>54.375</v>
      </c>
      <c r="L25">
        <v>2022</v>
      </c>
    </row>
    <row r="26" spans="1:12" x14ac:dyDescent="0.35">
      <c r="A26">
        <v>1</v>
      </c>
      <c r="B26">
        <v>20</v>
      </c>
      <c r="C26">
        <v>600</v>
      </c>
      <c r="D26">
        <f>D5</f>
        <v>1326</v>
      </c>
      <c r="E26">
        <f>E5</f>
        <v>219</v>
      </c>
      <c r="F26">
        <f>F5</f>
        <v>1545</v>
      </c>
      <c r="G26" t="s">
        <v>16</v>
      </c>
      <c r="H26">
        <f t="shared" si="3"/>
        <v>420</v>
      </c>
      <c r="I26">
        <f t="shared" si="4"/>
        <v>86520</v>
      </c>
      <c r="J26">
        <f t="shared" si="2"/>
        <v>77002.8</v>
      </c>
      <c r="K26">
        <f t="shared" si="5"/>
        <v>30</v>
      </c>
      <c r="L26">
        <v>2022</v>
      </c>
    </row>
    <row r="27" spans="1:12" x14ac:dyDescent="0.35">
      <c r="A27">
        <v>2</v>
      </c>
      <c r="B27">
        <v>12</v>
      </c>
      <c r="C27">
        <v>870</v>
      </c>
      <c r="D27">
        <f>D2</f>
        <v>3106</v>
      </c>
      <c r="E27">
        <f>E2</f>
        <v>369</v>
      </c>
      <c r="F27">
        <f>F2</f>
        <v>3475</v>
      </c>
      <c r="G27" t="s">
        <v>17</v>
      </c>
      <c r="H27">
        <f t="shared" si="3"/>
        <v>252</v>
      </c>
      <c r="I27">
        <f t="shared" si="4"/>
        <v>103824</v>
      </c>
      <c r="J27">
        <f t="shared" si="2"/>
        <v>92403.36</v>
      </c>
      <c r="K27">
        <f t="shared" si="5"/>
        <v>72.5</v>
      </c>
      <c r="L27">
        <v>2022</v>
      </c>
    </row>
    <row r="28" spans="1:12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17</v>
      </c>
      <c r="H28">
        <v>0</v>
      </c>
      <c r="I28">
        <v>0</v>
      </c>
      <c r="J28">
        <v>0</v>
      </c>
      <c r="K28">
        <v>0</v>
      </c>
      <c r="L28">
        <v>2022</v>
      </c>
    </row>
    <row r="29" spans="1:12" x14ac:dyDescent="0.35">
      <c r="A29">
        <v>1</v>
      </c>
      <c r="B29">
        <v>33</v>
      </c>
      <c r="C29">
        <v>600</v>
      </c>
      <c r="D29">
        <f>D5</f>
        <v>1326</v>
      </c>
      <c r="E29">
        <f>E5</f>
        <v>219</v>
      </c>
      <c r="F29">
        <f>F5</f>
        <v>1545</v>
      </c>
      <c r="G29" t="s">
        <v>17</v>
      </c>
      <c r="H29">
        <f>B29*21</f>
        <v>693</v>
      </c>
      <c r="I29">
        <f>A29*H29*205</f>
        <v>142065</v>
      </c>
      <c r="J29">
        <f>I29*0.89</f>
        <v>126437.85</v>
      </c>
      <c r="K29">
        <f>C29/B29</f>
        <v>18.181818181818183</v>
      </c>
      <c r="L29">
        <v>2022</v>
      </c>
    </row>
    <row r="30" spans="1:12" x14ac:dyDescent="0.35">
      <c r="A30">
        <v>1</v>
      </c>
      <c r="B30">
        <v>31</v>
      </c>
      <c r="C30">
        <v>670</v>
      </c>
      <c r="D30">
        <f>D5</f>
        <v>1326</v>
      </c>
      <c r="E30">
        <f>E5</f>
        <v>219</v>
      </c>
      <c r="F30">
        <f>F5</f>
        <v>1545</v>
      </c>
      <c r="G30" t="s">
        <v>17</v>
      </c>
      <c r="H30">
        <f>B30*21</f>
        <v>651</v>
      </c>
      <c r="I30">
        <f>A30*H30*206</f>
        <v>134106</v>
      </c>
      <c r="J30">
        <f>I30*0.89</f>
        <v>119354.34</v>
      </c>
      <c r="K30">
        <f>C30/B30</f>
        <v>21.612903225806452</v>
      </c>
      <c r="L30">
        <v>2022</v>
      </c>
    </row>
    <row r="31" spans="1:12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18</v>
      </c>
      <c r="H31">
        <v>0</v>
      </c>
      <c r="I31">
        <v>0</v>
      </c>
      <c r="J31">
        <v>0</v>
      </c>
      <c r="K31">
        <v>0</v>
      </c>
      <c r="L31">
        <v>2022</v>
      </c>
    </row>
    <row r="32" spans="1:12" x14ac:dyDescent="0.35">
      <c r="A32">
        <v>1</v>
      </c>
      <c r="B32">
        <v>19</v>
      </c>
      <c r="C32">
        <v>600</v>
      </c>
      <c r="D32">
        <v>1326</v>
      </c>
      <c r="E32">
        <v>219</v>
      </c>
      <c r="F32">
        <v>1545</v>
      </c>
      <c r="G32" t="s">
        <v>18</v>
      </c>
      <c r="H32">
        <f t="shared" ref="H32:H99" si="6">B32*21</f>
        <v>399</v>
      </c>
      <c r="I32">
        <f t="shared" ref="I32:I65" si="7">A32*H32*206</f>
        <v>82194</v>
      </c>
      <c r="J32">
        <f t="shared" ref="J32:J99" si="8">I32*0.89</f>
        <v>73152.66</v>
      </c>
      <c r="K32">
        <f t="shared" ref="K32:K99" si="9">C32/B32</f>
        <v>31.578947368421051</v>
      </c>
      <c r="L32">
        <v>2022</v>
      </c>
    </row>
    <row r="33" spans="1:12" x14ac:dyDescent="0.35">
      <c r="A33">
        <v>1</v>
      </c>
      <c r="B33">
        <v>29</v>
      </c>
      <c r="C33">
        <v>600</v>
      </c>
      <c r="D33">
        <v>1326</v>
      </c>
      <c r="E33">
        <v>219</v>
      </c>
      <c r="F33">
        <v>1545</v>
      </c>
      <c r="G33" t="s">
        <v>18</v>
      </c>
      <c r="H33">
        <f t="shared" si="6"/>
        <v>609</v>
      </c>
      <c r="I33">
        <f t="shared" si="7"/>
        <v>125454</v>
      </c>
      <c r="J33">
        <f t="shared" si="8"/>
        <v>111654.06</v>
      </c>
      <c r="K33">
        <f t="shared" si="9"/>
        <v>20.689655172413794</v>
      </c>
      <c r="L33">
        <v>2022</v>
      </c>
    </row>
    <row r="34" spans="1:12" x14ac:dyDescent="0.35">
      <c r="A34">
        <v>1</v>
      </c>
      <c r="B34">
        <v>18</v>
      </c>
      <c r="C34">
        <v>600</v>
      </c>
      <c r="D34">
        <v>1326</v>
      </c>
      <c r="E34">
        <v>219</v>
      </c>
      <c r="F34">
        <v>1545</v>
      </c>
      <c r="G34" t="s">
        <v>18</v>
      </c>
      <c r="H34">
        <f t="shared" si="6"/>
        <v>378</v>
      </c>
      <c r="I34">
        <f t="shared" si="7"/>
        <v>77868</v>
      </c>
      <c r="J34">
        <f t="shared" si="8"/>
        <v>69302.52</v>
      </c>
      <c r="K34">
        <f t="shared" si="9"/>
        <v>33.333333333333336</v>
      </c>
      <c r="L34">
        <v>2022</v>
      </c>
    </row>
    <row r="35" spans="1:12" x14ac:dyDescent="0.35">
      <c r="A35">
        <v>1</v>
      </c>
      <c r="B35">
        <v>18</v>
      </c>
      <c r="C35">
        <v>600</v>
      </c>
      <c r="D35">
        <v>1326</v>
      </c>
      <c r="E35">
        <v>219</v>
      </c>
      <c r="F35">
        <v>1545</v>
      </c>
      <c r="G35" t="s">
        <v>19</v>
      </c>
      <c r="H35">
        <f t="shared" si="6"/>
        <v>378</v>
      </c>
      <c r="I35">
        <f t="shared" si="7"/>
        <v>77868</v>
      </c>
      <c r="J35">
        <f t="shared" si="8"/>
        <v>69302.52</v>
      </c>
      <c r="K35">
        <f t="shared" si="9"/>
        <v>33.333333333333336</v>
      </c>
      <c r="L35">
        <v>2022</v>
      </c>
    </row>
    <row r="36" spans="1:12" x14ac:dyDescent="0.35">
      <c r="A36">
        <v>1</v>
      </c>
      <c r="B36">
        <v>16</v>
      </c>
      <c r="C36">
        <v>600</v>
      </c>
      <c r="D36">
        <v>1326</v>
      </c>
      <c r="E36">
        <v>219</v>
      </c>
      <c r="F36">
        <v>1545</v>
      </c>
      <c r="G36" t="s">
        <v>19</v>
      </c>
      <c r="H36">
        <f t="shared" si="6"/>
        <v>336</v>
      </c>
      <c r="I36">
        <f t="shared" si="7"/>
        <v>69216</v>
      </c>
      <c r="J36">
        <f t="shared" si="8"/>
        <v>61602.239999999998</v>
      </c>
      <c r="K36">
        <f t="shared" si="9"/>
        <v>37.5</v>
      </c>
      <c r="L36">
        <v>2022</v>
      </c>
    </row>
    <row r="37" spans="1:12" x14ac:dyDescent="0.35">
      <c r="A37">
        <v>2</v>
      </c>
      <c r="B37">
        <v>9</v>
      </c>
      <c r="C37">
        <v>870</v>
      </c>
      <c r="D37">
        <v>3106</v>
      </c>
      <c r="E37">
        <v>369</v>
      </c>
      <c r="F37">
        <v>3475</v>
      </c>
      <c r="G37" t="s">
        <v>11</v>
      </c>
      <c r="H37">
        <f t="shared" si="6"/>
        <v>189</v>
      </c>
      <c r="I37">
        <f t="shared" si="7"/>
        <v>77868</v>
      </c>
      <c r="J37">
        <f t="shared" si="8"/>
        <v>69302.52</v>
      </c>
      <c r="K37">
        <f t="shared" si="9"/>
        <v>96.666666666666671</v>
      </c>
      <c r="L37">
        <v>2023</v>
      </c>
    </row>
    <row r="38" spans="1:12" x14ac:dyDescent="0.35">
      <c r="A38">
        <v>2</v>
      </c>
      <c r="B38">
        <v>9</v>
      </c>
      <c r="C38">
        <v>700</v>
      </c>
      <c r="D38">
        <v>3106</v>
      </c>
      <c r="E38">
        <v>369</v>
      </c>
      <c r="F38">
        <v>3475</v>
      </c>
      <c r="G38" t="s">
        <v>11</v>
      </c>
      <c r="H38">
        <f t="shared" si="6"/>
        <v>189</v>
      </c>
      <c r="I38">
        <f t="shared" si="7"/>
        <v>77868</v>
      </c>
      <c r="J38">
        <f t="shared" si="8"/>
        <v>69302.52</v>
      </c>
      <c r="K38">
        <f t="shared" si="9"/>
        <v>77.777777777777771</v>
      </c>
      <c r="L38">
        <v>2023</v>
      </c>
    </row>
    <row r="39" spans="1:12" x14ac:dyDescent="0.35">
      <c r="A39">
        <v>2</v>
      </c>
      <c r="B39">
        <v>9</v>
      </c>
      <c r="C39">
        <v>500</v>
      </c>
      <c r="D39">
        <v>3106</v>
      </c>
      <c r="E39">
        <v>369</v>
      </c>
      <c r="F39">
        <v>3475</v>
      </c>
      <c r="G39" t="s">
        <v>11</v>
      </c>
      <c r="H39">
        <f t="shared" si="6"/>
        <v>189</v>
      </c>
      <c r="I39">
        <f t="shared" si="7"/>
        <v>77868</v>
      </c>
      <c r="J39">
        <f t="shared" si="8"/>
        <v>69302.52</v>
      </c>
      <c r="K39">
        <f t="shared" si="9"/>
        <v>55.555555555555557</v>
      </c>
      <c r="L39">
        <v>2023</v>
      </c>
    </row>
    <row r="40" spans="1:12" x14ac:dyDescent="0.35">
      <c r="A40">
        <v>1</v>
      </c>
      <c r="B40">
        <v>24</v>
      </c>
      <c r="C40">
        <v>1029</v>
      </c>
      <c r="D40">
        <f>D5</f>
        <v>1326</v>
      </c>
      <c r="E40">
        <f>E5</f>
        <v>219</v>
      </c>
      <c r="F40">
        <f>F5</f>
        <v>1545</v>
      </c>
      <c r="G40" t="s">
        <v>11</v>
      </c>
      <c r="H40">
        <f t="shared" si="6"/>
        <v>504</v>
      </c>
      <c r="I40">
        <f t="shared" si="7"/>
        <v>103824</v>
      </c>
      <c r="J40">
        <f t="shared" si="8"/>
        <v>92403.36</v>
      </c>
      <c r="K40">
        <f t="shared" si="9"/>
        <v>42.875</v>
      </c>
      <c r="L40">
        <v>2023</v>
      </c>
    </row>
    <row r="41" spans="1:12" x14ac:dyDescent="0.35">
      <c r="A41">
        <v>2</v>
      </c>
      <c r="B41">
        <v>23</v>
      </c>
      <c r="C41">
        <v>1130</v>
      </c>
      <c r="D41">
        <f>D2</f>
        <v>3106</v>
      </c>
      <c r="E41">
        <f>E2</f>
        <v>369</v>
      </c>
      <c r="F41">
        <f>F2</f>
        <v>3475</v>
      </c>
      <c r="G41" t="s">
        <v>12</v>
      </c>
      <c r="H41">
        <f t="shared" si="6"/>
        <v>483</v>
      </c>
      <c r="I41">
        <f t="shared" si="7"/>
        <v>198996</v>
      </c>
      <c r="J41">
        <f t="shared" si="8"/>
        <v>177106.44</v>
      </c>
      <c r="K41">
        <f t="shared" si="9"/>
        <v>49.130434782608695</v>
      </c>
      <c r="L41">
        <v>2023</v>
      </c>
    </row>
    <row r="42" spans="1:12" x14ac:dyDescent="0.35">
      <c r="A42">
        <v>1</v>
      </c>
      <c r="B42">
        <v>22</v>
      </c>
      <c r="C42">
        <v>500</v>
      </c>
      <c r="D42">
        <f>D5</f>
        <v>1326</v>
      </c>
      <c r="E42">
        <f>E5</f>
        <v>219</v>
      </c>
      <c r="F42">
        <f>F5</f>
        <v>1545</v>
      </c>
      <c r="G42" t="s">
        <v>12</v>
      </c>
      <c r="H42">
        <f t="shared" si="6"/>
        <v>462</v>
      </c>
      <c r="I42">
        <f t="shared" si="7"/>
        <v>95172</v>
      </c>
      <c r="J42">
        <f t="shared" si="8"/>
        <v>84703.08</v>
      </c>
      <c r="K42">
        <f t="shared" si="9"/>
        <v>22.727272727272727</v>
      </c>
      <c r="L42">
        <v>2023</v>
      </c>
    </row>
    <row r="43" spans="1:12" x14ac:dyDescent="0.35">
      <c r="A43">
        <v>2</v>
      </c>
      <c r="B43">
        <v>26</v>
      </c>
      <c r="C43">
        <v>1273</v>
      </c>
      <c r="D43">
        <v>3106</v>
      </c>
      <c r="E43">
        <v>369</v>
      </c>
      <c r="F43">
        <v>3475</v>
      </c>
      <c r="G43" t="s">
        <v>12</v>
      </c>
      <c r="H43">
        <f t="shared" si="6"/>
        <v>546</v>
      </c>
      <c r="I43">
        <f t="shared" si="7"/>
        <v>224952</v>
      </c>
      <c r="J43">
        <f t="shared" si="8"/>
        <v>200207.28</v>
      </c>
      <c r="K43">
        <f t="shared" si="9"/>
        <v>48.96153846153846</v>
      </c>
      <c r="L43">
        <v>2023</v>
      </c>
    </row>
    <row r="44" spans="1:12" x14ac:dyDescent="0.35">
      <c r="A44">
        <v>2</v>
      </c>
      <c r="B44">
        <v>34</v>
      </c>
      <c r="C44">
        <v>650</v>
      </c>
      <c r="D44">
        <v>3106</v>
      </c>
      <c r="E44">
        <v>369</v>
      </c>
      <c r="F44">
        <v>3475</v>
      </c>
      <c r="G44" t="s">
        <v>12</v>
      </c>
      <c r="H44">
        <f t="shared" si="6"/>
        <v>714</v>
      </c>
      <c r="I44">
        <f t="shared" si="7"/>
        <v>294168</v>
      </c>
      <c r="J44">
        <f t="shared" si="8"/>
        <v>261809.52</v>
      </c>
      <c r="K44">
        <f t="shared" si="9"/>
        <v>19.117647058823529</v>
      </c>
      <c r="L44">
        <v>2023</v>
      </c>
    </row>
    <row r="45" spans="1:12" x14ac:dyDescent="0.35">
      <c r="A45">
        <v>1</v>
      </c>
      <c r="B45">
        <v>22</v>
      </c>
      <c r="C45">
        <v>600</v>
      </c>
      <c r="D45">
        <v>1326</v>
      </c>
      <c r="E45">
        <v>219</v>
      </c>
      <c r="F45">
        <v>1545</v>
      </c>
      <c r="G45" t="s">
        <v>13</v>
      </c>
      <c r="H45">
        <f t="shared" si="6"/>
        <v>462</v>
      </c>
      <c r="I45">
        <f t="shared" si="7"/>
        <v>95172</v>
      </c>
      <c r="J45">
        <f t="shared" si="8"/>
        <v>84703.08</v>
      </c>
      <c r="K45">
        <f t="shared" si="9"/>
        <v>27.272727272727273</v>
      </c>
      <c r="L45">
        <v>2023</v>
      </c>
    </row>
    <row r="46" spans="1:12" x14ac:dyDescent="0.35">
      <c r="A46">
        <v>1</v>
      </c>
      <c r="B46">
        <v>23</v>
      </c>
      <c r="C46">
        <v>600</v>
      </c>
      <c r="D46">
        <v>1326</v>
      </c>
      <c r="E46">
        <v>219</v>
      </c>
      <c r="F46">
        <v>1545</v>
      </c>
      <c r="G46" t="s">
        <v>13</v>
      </c>
      <c r="H46">
        <f t="shared" si="6"/>
        <v>483</v>
      </c>
      <c r="I46">
        <f t="shared" si="7"/>
        <v>99498</v>
      </c>
      <c r="J46">
        <f t="shared" si="8"/>
        <v>88553.22</v>
      </c>
      <c r="K46">
        <f t="shared" si="9"/>
        <v>26.086956521739129</v>
      </c>
      <c r="L46">
        <v>2023</v>
      </c>
    </row>
    <row r="47" spans="1:12" x14ac:dyDescent="0.35">
      <c r="A47">
        <v>2</v>
      </c>
      <c r="B47">
        <v>21</v>
      </c>
      <c r="C47">
        <v>350</v>
      </c>
      <c r="D47">
        <f>D2</f>
        <v>3106</v>
      </c>
      <c r="E47">
        <f>E2</f>
        <v>369</v>
      </c>
      <c r="F47">
        <f>F2</f>
        <v>3475</v>
      </c>
      <c r="G47" t="s">
        <v>13</v>
      </c>
      <c r="H47">
        <f t="shared" si="6"/>
        <v>441</v>
      </c>
      <c r="I47">
        <f t="shared" si="7"/>
        <v>181692</v>
      </c>
      <c r="J47">
        <f t="shared" si="8"/>
        <v>161705.88</v>
      </c>
      <c r="K47">
        <f t="shared" si="9"/>
        <v>16.666666666666668</v>
      </c>
      <c r="L47">
        <v>2023</v>
      </c>
    </row>
    <row r="48" spans="1:12" x14ac:dyDescent="0.35">
      <c r="A48">
        <v>1</v>
      </c>
      <c r="B48">
        <v>26</v>
      </c>
      <c r="C48">
        <v>600</v>
      </c>
      <c r="D48">
        <v>1326</v>
      </c>
      <c r="E48">
        <v>219</v>
      </c>
      <c r="F48">
        <v>1545</v>
      </c>
      <c r="G48" t="s">
        <v>13</v>
      </c>
      <c r="H48">
        <f t="shared" si="6"/>
        <v>546</v>
      </c>
      <c r="I48">
        <f t="shared" si="7"/>
        <v>112476</v>
      </c>
      <c r="J48">
        <f t="shared" si="8"/>
        <v>100103.64</v>
      </c>
      <c r="K48">
        <f t="shared" si="9"/>
        <v>23.076923076923077</v>
      </c>
      <c r="L48">
        <v>2023</v>
      </c>
    </row>
    <row r="49" spans="1:12" x14ac:dyDescent="0.35">
      <c r="A49">
        <v>1</v>
      </c>
      <c r="B49">
        <v>24</v>
      </c>
      <c r="C49">
        <v>600</v>
      </c>
      <c r="D49">
        <v>1326</v>
      </c>
      <c r="E49">
        <v>219</v>
      </c>
      <c r="F49">
        <v>1545</v>
      </c>
      <c r="G49" t="s">
        <v>14</v>
      </c>
      <c r="H49">
        <f t="shared" si="6"/>
        <v>504</v>
      </c>
      <c r="I49">
        <f t="shared" si="7"/>
        <v>103824</v>
      </c>
      <c r="J49">
        <f t="shared" si="8"/>
        <v>92403.36</v>
      </c>
      <c r="K49">
        <f t="shared" si="9"/>
        <v>25</v>
      </c>
      <c r="L49">
        <v>2023</v>
      </c>
    </row>
    <row r="50" spans="1:12" x14ac:dyDescent="0.35">
      <c r="A50">
        <v>2</v>
      </c>
      <c r="B50">
        <v>23</v>
      </c>
      <c r="C50">
        <v>780</v>
      </c>
      <c r="D50">
        <v>3106</v>
      </c>
      <c r="E50">
        <v>369</v>
      </c>
      <c r="F50">
        <v>3475</v>
      </c>
      <c r="G50" t="s">
        <v>14</v>
      </c>
      <c r="H50">
        <f t="shared" si="6"/>
        <v>483</v>
      </c>
      <c r="I50">
        <f t="shared" si="7"/>
        <v>198996</v>
      </c>
      <c r="J50">
        <f t="shared" si="8"/>
        <v>177106.44</v>
      </c>
      <c r="K50">
        <f t="shared" si="9"/>
        <v>33.913043478260867</v>
      </c>
      <c r="L50">
        <v>2023</v>
      </c>
    </row>
    <row r="51" spans="1:12" x14ac:dyDescent="0.35">
      <c r="A51">
        <v>2</v>
      </c>
      <c r="B51">
        <v>16</v>
      </c>
      <c r="C51">
        <v>870</v>
      </c>
      <c r="D51">
        <v>3106</v>
      </c>
      <c r="E51">
        <v>369</v>
      </c>
      <c r="F51">
        <v>3475</v>
      </c>
      <c r="G51" t="s">
        <v>14</v>
      </c>
      <c r="H51">
        <f t="shared" si="6"/>
        <v>336</v>
      </c>
      <c r="I51">
        <f t="shared" si="7"/>
        <v>138432</v>
      </c>
      <c r="J51">
        <f t="shared" si="8"/>
        <v>123204.48</v>
      </c>
      <c r="K51">
        <f t="shared" si="9"/>
        <v>54.375</v>
      </c>
      <c r="L51">
        <v>2023</v>
      </c>
    </row>
    <row r="52" spans="1:12" x14ac:dyDescent="0.35">
      <c r="A52">
        <v>2</v>
      </c>
      <c r="B52">
        <v>18</v>
      </c>
      <c r="C52">
        <v>730</v>
      </c>
      <c r="D52">
        <v>3106</v>
      </c>
      <c r="E52">
        <v>369</v>
      </c>
      <c r="F52">
        <v>3475</v>
      </c>
      <c r="G52" t="s">
        <v>15</v>
      </c>
      <c r="H52">
        <f t="shared" si="6"/>
        <v>378</v>
      </c>
      <c r="I52">
        <f t="shared" si="7"/>
        <v>155736</v>
      </c>
      <c r="J52">
        <f t="shared" si="8"/>
        <v>138605.04</v>
      </c>
      <c r="K52">
        <f t="shared" si="9"/>
        <v>40.555555555555557</v>
      </c>
      <c r="L52">
        <v>2023</v>
      </c>
    </row>
    <row r="53" spans="1:12" x14ac:dyDescent="0.35">
      <c r="A53">
        <v>2</v>
      </c>
      <c r="B53">
        <v>21</v>
      </c>
      <c r="C53">
        <v>1100</v>
      </c>
      <c r="D53">
        <v>3106</v>
      </c>
      <c r="E53">
        <v>369</v>
      </c>
      <c r="F53">
        <v>3475</v>
      </c>
      <c r="G53" t="s">
        <v>15</v>
      </c>
      <c r="H53">
        <f t="shared" si="6"/>
        <v>441</v>
      </c>
      <c r="I53">
        <f t="shared" si="7"/>
        <v>181692</v>
      </c>
      <c r="J53">
        <f t="shared" si="8"/>
        <v>161705.88</v>
      </c>
      <c r="K53">
        <f t="shared" si="9"/>
        <v>52.38095238095238</v>
      </c>
      <c r="L53">
        <v>2023</v>
      </c>
    </row>
    <row r="54" spans="1:12" x14ac:dyDescent="0.35">
      <c r="A54">
        <v>2</v>
      </c>
      <c r="B54">
        <v>22</v>
      </c>
      <c r="C54">
        <v>1100</v>
      </c>
      <c r="D54">
        <v>3106</v>
      </c>
      <c r="E54">
        <v>369</v>
      </c>
      <c r="F54">
        <v>3475</v>
      </c>
      <c r="G54" t="s">
        <v>15</v>
      </c>
      <c r="H54">
        <f t="shared" si="6"/>
        <v>462</v>
      </c>
      <c r="I54">
        <f t="shared" si="7"/>
        <v>190344</v>
      </c>
      <c r="J54">
        <f t="shared" si="8"/>
        <v>169406.16</v>
      </c>
      <c r="K54">
        <f t="shared" si="9"/>
        <v>50</v>
      </c>
      <c r="L54">
        <v>2023</v>
      </c>
    </row>
    <row r="55" spans="1:12" x14ac:dyDescent="0.35">
      <c r="A55">
        <v>1</v>
      </c>
      <c r="B55">
        <v>19</v>
      </c>
      <c r="C55">
        <v>880</v>
      </c>
      <c r="D55">
        <v>1326</v>
      </c>
      <c r="E55">
        <v>219</v>
      </c>
      <c r="F55">
        <v>1545</v>
      </c>
      <c r="G55" t="s">
        <v>16</v>
      </c>
      <c r="H55">
        <f t="shared" si="6"/>
        <v>399</v>
      </c>
      <c r="I55">
        <f t="shared" si="7"/>
        <v>82194</v>
      </c>
      <c r="J55">
        <f t="shared" si="8"/>
        <v>73152.66</v>
      </c>
      <c r="K55">
        <f t="shared" si="9"/>
        <v>46.315789473684212</v>
      </c>
      <c r="L55">
        <v>2023</v>
      </c>
    </row>
    <row r="56" spans="1:12" x14ac:dyDescent="0.35">
      <c r="A56">
        <v>1</v>
      </c>
      <c r="B56">
        <v>17</v>
      </c>
      <c r="C56">
        <v>800</v>
      </c>
      <c r="D56">
        <v>1326</v>
      </c>
      <c r="E56">
        <v>219</v>
      </c>
      <c r="F56">
        <v>1545</v>
      </c>
      <c r="G56" t="s">
        <v>16</v>
      </c>
      <c r="H56">
        <f t="shared" si="6"/>
        <v>357</v>
      </c>
      <c r="I56">
        <f t="shared" si="7"/>
        <v>73542</v>
      </c>
      <c r="J56">
        <f t="shared" si="8"/>
        <v>65452.38</v>
      </c>
      <c r="K56">
        <f t="shared" si="9"/>
        <v>47.058823529411768</v>
      </c>
      <c r="L56">
        <v>2023</v>
      </c>
    </row>
    <row r="57" spans="1:12" x14ac:dyDescent="0.35">
      <c r="A57">
        <v>2</v>
      </c>
      <c r="B57">
        <v>23</v>
      </c>
      <c r="C57">
        <v>870</v>
      </c>
      <c r="D57">
        <f>D2</f>
        <v>3106</v>
      </c>
      <c r="E57">
        <f>E2</f>
        <v>369</v>
      </c>
      <c r="F57">
        <f>F2</f>
        <v>3475</v>
      </c>
      <c r="G57" t="s">
        <v>16</v>
      </c>
      <c r="H57">
        <f t="shared" si="6"/>
        <v>483</v>
      </c>
      <c r="I57">
        <f t="shared" si="7"/>
        <v>198996</v>
      </c>
      <c r="J57">
        <f t="shared" si="8"/>
        <v>177106.44</v>
      </c>
      <c r="K57">
        <f t="shared" si="9"/>
        <v>37.826086956521742</v>
      </c>
      <c r="L57">
        <v>2023</v>
      </c>
    </row>
    <row r="58" spans="1:12" x14ac:dyDescent="0.35">
      <c r="A58">
        <v>1</v>
      </c>
      <c r="B58">
        <v>28</v>
      </c>
      <c r="C58">
        <v>600</v>
      </c>
      <c r="D58">
        <f>D5</f>
        <v>1326</v>
      </c>
      <c r="E58">
        <f>E5</f>
        <v>219</v>
      </c>
      <c r="F58">
        <f>F5</f>
        <v>1545</v>
      </c>
      <c r="G58" t="s">
        <v>16</v>
      </c>
      <c r="H58">
        <f t="shared" si="6"/>
        <v>588</v>
      </c>
      <c r="I58">
        <f t="shared" si="7"/>
        <v>121128</v>
      </c>
      <c r="J58">
        <f t="shared" si="8"/>
        <v>107803.92</v>
      </c>
      <c r="K58">
        <f t="shared" si="9"/>
        <v>21.428571428571427</v>
      </c>
      <c r="L58">
        <v>2023</v>
      </c>
    </row>
    <row r="59" spans="1:12" x14ac:dyDescent="0.35">
      <c r="A59">
        <v>2</v>
      </c>
      <c r="B59">
        <v>25</v>
      </c>
      <c r="C59">
        <v>870</v>
      </c>
      <c r="D59">
        <v>3106</v>
      </c>
      <c r="E59">
        <v>369</v>
      </c>
      <c r="F59">
        <v>3475</v>
      </c>
      <c r="G59" t="s">
        <v>17</v>
      </c>
      <c r="H59">
        <f t="shared" si="6"/>
        <v>525</v>
      </c>
      <c r="I59">
        <f t="shared" si="7"/>
        <v>216300</v>
      </c>
      <c r="J59">
        <f t="shared" si="8"/>
        <v>192507</v>
      </c>
      <c r="K59">
        <f t="shared" si="9"/>
        <v>34.799999999999997</v>
      </c>
      <c r="L59">
        <v>2023</v>
      </c>
    </row>
    <row r="60" spans="1:12" x14ac:dyDescent="0.35">
      <c r="A60">
        <v>2</v>
      </c>
      <c r="B60">
        <v>21</v>
      </c>
      <c r="C60">
        <v>770</v>
      </c>
      <c r="D60">
        <v>3106</v>
      </c>
      <c r="E60">
        <v>369</v>
      </c>
      <c r="F60">
        <v>3475</v>
      </c>
      <c r="G60" t="s">
        <v>17</v>
      </c>
      <c r="H60">
        <f t="shared" si="6"/>
        <v>441</v>
      </c>
      <c r="I60">
        <f t="shared" si="7"/>
        <v>181692</v>
      </c>
      <c r="J60">
        <f t="shared" si="8"/>
        <v>161705.88</v>
      </c>
      <c r="K60">
        <f t="shared" si="9"/>
        <v>36.666666666666664</v>
      </c>
      <c r="L60">
        <v>2023</v>
      </c>
    </row>
    <row r="61" spans="1:12" x14ac:dyDescent="0.35">
      <c r="A61">
        <v>1</v>
      </c>
      <c r="B61">
        <v>18</v>
      </c>
      <c r="C61">
        <v>480</v>
      </c>
      <c r="D61">
        <v>1326</v>
      </c>
      <c r="E61">
        <v>219</v>
      </c>
      <c r="F61">
        <v>1545</v>
      </c>
      <c r="G61" t="s">
        <v>17</v>
      </c>
      <c r="H61">
        <f t="shared" si="6"/>
        <v>378</v>
      </c>
      <c r="I61">
        <f t="shared" si="7"/>
        <v>77868</v>
      </c>
      <c r="J61">
        <f t="shared" si="8"/>
        <v>69302.52</v>
      </c>
      <c r="K61">
        <f t="shared" si="9"/>
        <v>26.666666666666668</v>
      </c>
      <c r="L61">
        <v>2021</v>
      </c>
    </row>
    <row r="62" spans="1:12" x14ac:dyDescent="0.35">
      <c r="A62">
        <v>1</v>
      </c>
      <c r="B62">
        <v>21</v>
      </c>
      <c r="C62">
        <v>1000</v>
      </c>
      <c r="D62">
        <v>1326</v>
      </c>
      <c r="E62">
        <v>219</v>
      </c>
      <c r="F62">
        <v>1545</v>
      </c>
      <c r="G62" t="s">
        <v>11</v>
      </c>
      <c r="H62">
        <f t="shared" si="6"/>
        <v>441</v>
      </c>
      <c r="I62">
        <f t="shared" si="7"/>
        <v>90846</v>
      </c>
      <c r="J62">
        <f t="shared" si="8"/>
        <v>80852.94</v>
      </c>
      <c r="K62">
        <f t="shared" si="9"/>
        <v>47.61904761904762</v>
      </c>
      <c r="L62">
        <v>2021</v>
      </c>
    </row>
    <row r="63" spans="1:12" x14ac:dyDescent="0.35">
      <c r="A63">
        <v>1</v>
      </c>
      <c r="B63">
        <v>23</v>
      </c>
      <c r="C63">
        <v>600</v>
      </c>
      <c r="D63">
        <v>1326</v>
      </c>
      <c r="E63">
        <v>219</v>
      </c>
      <c r="F63">
        <v>1545</v>
      </c>
      <c r="G63" t="s">
        <v>11</v>
      </c>
      <c r="H63">
        <f t="shared" si="6"/>
        <v>483</v>
      </c>
      <c r="I63">
        <f t="shared" si="7"/>
        <v>99498</v>
      </c>
      <c r="J63">
        <f t="shared" si="8"/>
        <v>88553.22</v>
      </c>
      <c r="K63">
        <f t="shared" si="9"/>
        <v>26.086956521739129</v>
      </c>
      <c r="L63">
        <v>2021</v>
      </c>
    </row>
    <row r="64" spans="1:12" x14ac:dyDescent="0.35">
      <c r="A64">
        <v>3</v>
      </c>
      <c r="B64">
        <v>22</v>
      </c>
      <c r="C64">
        <v>0</v>
      </c>
      <c r="D64">
        <v>5482</v>
      </c>
      <c r="E64">
        <v>575</v>
      </c>
      <c r="F64">
        <v>6057</v>
      </c>
      <c r="G64" t="s">
        <v>11</v>
      </c>
      <c r="H64">
        <f t="shared" si="6"/>
        <v>462</v>
      </c>
      <c r="I64">
        <f t="shared" si="7"/>
        <v>285516</v>
      </c>
      <c r="J64">
        <f t="shared" si="8"/>
        <v>254109.24</v>
      </c>
      <c r="K64">
        <f t="shared" si="9"/>
        <v>0</v>
      </c>
      <c r="L64">
        <v>2021</v>
      </c>
    </row>
    <row r="65" spans="1:12" x14ac:dyDescent="0.35">
      <c r="A65">
        <v>1</v>
      </c>
      <c r="B65">
        <v>15</v>
      </c>
      <c r="C65">
        <v>0</v>
      </c>
      <c r="D65">
        <v>1326</v>
      </c>
      <c r="E65">
        <v>219</v>
      </c>
      <c r="F65">
        <v>1545</v>
      </c>
      <c r="G65" t="s">
        <v>11</v>
      </c>
      <c r="H65">
        <f t="shared" si="6"/>
        <v>315</v>
      </c>
      <c r="I65">
        <f t="shared" si="7"/>
        <v>64890</v>
      </c>
      <c r="J65">
        <f t="shared" si="8"/>
        <v>57752.1</v>
      </c>
      <c r="K65">
        <f t="shared" si="9"/>
        <v>0</v>
      </c>
      <c r="L65">
        <v>2021</v>
      </c>
    </row>
    <row r="66" spans="1:12" x14ac:dyDescent="0.35">
      <c r="A66">
        <v>1</v>
      </c>
      <c r="B66">
        <v>18</v>
      </c>
      <c r="C66">
        <v>600</v>
      </c>
      <c r="D66">
        <v>1326</v>
      </c>
      <c r="E66">
        <v>219</v>
      </c>
      <c r="F66">
        <v>1545</v>
      </c>
      <c r="G66" t="s">
        <v>12</v>
      </c>
      <c r="H66">
        <f t="shared" si="6"/>
        <v>378</v>
      </c>
      <c r="I66">
        <f t="shared" ref="I66:I99" si="10">A66*H66*206</f>
        <v>77868</v>
      </c>
      <c r="J66">
        <f t="shared" si="8"/>
        <v>69302.52</v>
      </c>
      <c r="K66">
        <f t="shared" si="9"/>
        <v>33.333333333333336</v>
      </c>
      <c r="L66">
        <v>2021</v>
      </c>
    </row>
    <row r="67" spans="1:12" x14ac:dyDescent="0.35">
      <c r="A67">
        <v>1</v>
      </c>
      <c r="B67">
        <v>20</v>
      </c>
      <c r="C67">
        <v>500</v>
      </c>
      <c r="D67">
        <v>1326</v>
      </c>
      <c r="E67">
        <v>219</v>
      </c>
      <c r="F67">
        <v>1545</v>
      </c>
      <c r="G67" t="s">
        <v>12</v>
      </c>
      <c r="H67">
        <f t="shared" si="6"/>
        <v>420</v>
      </c>
      <c r="I67">
        <f t="shared" si="10"/>
        <v>86520</v>
      </c>
      <c r="J67">
        <f t="shared" si="8"/>
        <v>77002.8</v>
      </c>
      <c r="K67">
        <f t="shared" si="9"/>
        <v>25</v>
      </c>
      <c r="L67">
        <v>2021</v>
      </c>
    </row>
    <row r="68" spans="1:12" x14ac:dyDescent="0.35">
      <c r="A68">
        <v>1</v>
      </c>
      <c r="B68">
        <v>25</v>
      </c>
      <c r="C68">
        <v>600</v>
      </c>
      <c r="D68">
        <v>1326</v>
      </c>
      <c r="E68">
        <v>219</v>
      </c>
      <c r="F68">
        <v>1545</v>
      </c>
      <c r="G68" t="s">
        <v>12</v>
      </c>
      <c r="H68">
        <f t="shared" si="6"/>
        <v>525</v>
      </c>
      <c r="I68">
        <f t="shared" si="10"/>
        <v>108150</v>
      </c>
      <c r="J68">
        <f t="shared" si="8"/>
        <v>96253.5</v>
      </c>
      <c r="K68">
        <f t="shared" si="9"/>
        <v>24</v>
      </c>
      <c r="L68">
        <v>2021</v>
      </c>
    </row>
    <row r="69" spans="1:12" x14ac:dyDescent="0.35">
      <c r="A69">
        <v>1</v>
      </c>
      <c r="B69">
        <v>25</v>
      </c>
      <c r="C69">
        <v>711.25</v>
      </c>
      <c r="D69">
        <v>1326</v>
      </c>
      <c r="E69">
        <v>219</v>
      </c>
      <c r="F69">
        <v>1545</v>
      </c>
      <c r="G69" t="s">
        <v>12</v>
      </c>
      <c r="H69">
        <f t="shared" si="6"/>
        <v>525</v>
      </c>
      <c r="I69">
        <f t="shared" si="10"/>
        <v>108150</v>
      </c>
      <c r="J69">
        <f t="shared" si="8"/>
        <v>96253.5</v>
      </c>
      <c r="K69">
        <f t="shared" si="9"/>
        <v>28.45</v>
      </c>
      <c r="L69">
        <v>2021</v>
      </c>
    </row>
    <row r="70" spans="1:12" x14ac:dyDescent="0.35">
      <c r="A70">
        <v>2</v>
      </c>
      <c r="B70">
        <v>20</v>
      </c>
      <c r="C70">
        <v>750</v>
      </c>
      <c r="D70">
        <v>3106</v>
      </c>
      <c r="E70">
        <v>369</v>
      </c>
      <c r="F70">
        <v>3475</v>
      </c>
      <c r="G70" t="s">
        <v>13</v>
      </c>
      <c r="H70">
        <f t="shared" si="6"/>
        <v>420</v>
      </c>
      <c r="I70">
        <f t="shared" si="10"/>
        <v>173040</v>
      </c>
      <c r="J70">
        <f t="shared" si="8"/>
        <v>154005.6</v>
      </c>
      <c r="K70">
        <f t="shared" si="9"/>
        <v>37.5</v>
      </c>
      <c r="L70">
        <v>2021</v>
      </c>
    </row>
    <row r="71" spans="1:12" x14ac:dyDescent="0.35">
      <c r="A71">
        <v>1</v>
      </c>
      <c r="B71">
        <v>20</v>
      </c>
      <c r="C71">
        <v>870</v>
      </c>
      <c r="D71">
        <v>1326</v>
      </c>
      <c r="E71">
        <v>219</v>
      </c>
      <c r="F71">
        <v>1545</v>
      </c>
      <c r="G71" t="s">
        <v>13</v>
      </c>
      <c r="H71">
        <f t="shared" si="6"/>
        <v>420</v>
      </c>
      <c r="I71">
        <f t="shared" si="10"/>
        <v>86520</v>
      </c>
      <c r="J71">
        <f t="shared" si="8"/>
        <v>77002.8</v>
      </c>
      <c r="K71">
        <f t="shared" si="9"/>
        <v>43.5</v>
      </c>
      <c r="L71">
        <v>2021</v>
      </c>
    </row>
    <row r="72" spans="1:12" x14ac:dyDescent="0.35">
      <c r="A72">
        <v>1</v>
      </c>
      <c r="B72">
        <v>20</v>
      </c>
      <c r="C72">
        <v>500</v>
      </c>
      <c r="D72">
        <v>1326</v>
      </c>
      <c r="E72">
        <v>219</v>
      </c>
      <c r="F72">
        <v>1545</v>
      </c>
      <c r="G72" t="s">
        <v>13</v>
      </c>
      <c r="H72">
        <f t="shared" si="6"/>
        <v>420</v>
      </c>
      <c r="I72">
        <f t="shared" si="10"/>
        <v>86520</v>
      </c>
      <c r="J72">
        <f t="shared" si="8"/>
        <v>77002.8</v>
      </c>
      <c r="K72">
        <f t="shared" si="9"/>
        <v>25</v>
      </c>
      <c r="L72">
        <v>2021</v>
      </c>
    </row>
    <row r="73" spans="1:12" x14ac:dyDescent="0.35">
      <c r="A73">
        <v>1</v>
      </c>
      <c r="B73">
        <v>14</v>
      </c>
      <c r="C73">
        <v>270</v>
      </c>
      <c r="D73">
        <v>1326</v>
      </c>
      <c r="E73">
        <v>219</v>
      </c>
      <c r="F73">
        <v>1545</v>
      </c>
      <c r="G73" t="s">
        <v>13</v>
      </c>
      <c r="H73">
        <f t="shared" si="6"/>
        <v>294</v>
      </c>
      <c r="I73">
        <f t="shared" si="10"/>
        <v>60564</v>
      </c>
      <c r="J73">
        <f t="shared" si="8"/>
        <v>53901.96</v>
      </c>
      <c r="K73">
        <f t="shared" si="9"/>
        <v>19.285714285714285</v>
      </c>
      <c r="L73">
        <v>2021</v>
      </c>
    </row>
    <row r="74" spans="1:12" x14ac:dyDescent="0.35">
      <c r="A74">
        <v>2</v>
      </c>
      <c r="B74">
        <v>22</v>
      </c>
      <c r="C74">
        <v>870</v>
      </c>
      <c r="D74">
        <v>3106</v>
      </c>
      <c r="E74">
        <v>369</v>
      </c>
      <c r="F74">
        <v>3475</v>
      </c>
      <c r="G74" t="s">
        <v>13</v>
      </c>
      <c r="H74">
        <f t="shared" si="6"/>
        <v>462</v>
      </c>
      <c r="I74">
        <f t="shared" si="10"/>
        <v>190344</v>
      </c>
      <c r="J74">
        <f t="shared" si="8"/>
        <v>169406.16</v>
      </c>
      <c r="K74">
        <f t="shared" si="9"/>
        <v>39.545454545454547</v>
      </c>
      <c r="L74">
        <v>2021</v>
      </c>
    </row>
    <row r="75" spans="1:12" x14ac:dyDescent="0.35">
      <c r="A75">
        <v>2</v>
      </c>
      <c r="B75">
        <v>20</v>
      </c>
      <c r="C75">
        <v>870</v>
      </c>
      <c r="D75">
        <v>3106</v>
      </c>
      <c r="E75">
        <v>369</v>
      </c>
      <c r="F75">
        <v>3475</v>
      </c>
      <c r="G75" t="s">
        <v>14</v>
      </c>
      <c r="H75">
        <f t="shared" si="6"/>
        <v>420</v>
      </c>
      <c r="I75">
        <f t="shared" si="10"/>
        <v>173040</v>
      </c>
      <c r="J75">
        <f t="shared" si="8"/>
        <v>154005.6</v>
      </c>
      <c r="K75">
        <f t="shared" si="9"/>
        <v>43.5</v>
      </c>
      <c r="L75">
        <v>2021</v>
      </c>
    </row>
    <row r="76" spans="1:12" x14ac:dyDescent="0.35">
      <c r="A76">
        <v>2</v>
      </c>
      <c r="B76">
        <v>27</v>
      </c>
      <c r="C76">
        <v>750</v>
      </c>
      <c r="D76">
        <v>3106</v>
      </c>
      <c r="E76">
        <v>369</v>
      </c>
      <c r="F76">
        <v>3475</v>
      </c>
      <c r="G76" t="s">
        <v>14</v>
      </c>
      <c r="H76">
        <f t="shared" si="6"/>
        <v>567</v>
      </c>
      <c r="I76">
        <f t="shared" si="10"/>
        <v>233604</v>
      </c>
      <c r="J76">
        <f t="shared" si="8"/>
        <v>207907.56</v>
      </c>
      <c r="K76">
        <f t="shared" si="9"/>
        <v>27.777777777777779</v>
      </c>
      <c r="L76">
        <v>2021</v>
      </c>
    </row>
    <row r="77" spans="1:12" x14ac:dyDescent="0.35">
      <c r="A77">
        <v>1</v>
      </c>
      <c r="B77">
        <v>18</v>
      </c>
      <c r="C77">
        <v>600</v>
      </c>
      <c r="D77">
        <v>1326</v>
      </c>
      <c r="E77">
        <v>219</v>
      </c>
      <c r="F77">
        <v>1545</v>
      </c>
      <c r="G77" t="s">
        <v>14</v>
      </c>
      <c r="H77">
        <f t="shared" si="6"/>
        <v>378</v>
      </c>
      <c r="I77">
        <f t="shared" si="10"/>
        <v>77868</v>
      </c>
      <c r="J77">
        <f t="shared" si="8"/>
        <v>69302.52</v>
      </c>
      <c r="K77">
        <f t="shared" si="9"/>
        <v>33.333333333333336</v>
      </c>
      <c r="L77">
        <v>2021</v>
      </c>
    </row>
    <row r="78" spans="1:12" x14ac:dyDescent="0.35">
      <c r="A78">
        <v>2</v>
      </c>
      <c r="B78">
        <v>24</v>
      </c>
      <c r="C78">
        <v>750</v>
      </c>
      <c r="D78">
        <v>3106</v>
      </c>
      <c r="E78">
        <v>369</v>
      </c>
      <c r="F78">
        <v>3475</v>
      </c>
      <c r="G78" t="s">
        <v>15</v>
      </c>
      <c r="H78">
        <f t="shared" si="6"/>
        <v>504</v>
      </c>
      <c r="I78">
        <f t="shared" si="10"/>
        <v>207648</v>
      </c>
      <c r="J78">
        <f t="shared" si="8"/>
        <v>184806.72</v>
      </c>
      <c r="K78">
        <f t="shared" si="9"/>
        <v>31.25</v>
      </c>
      <c r="L78">
        <v>2021</v>
      </c>
    </row>
    <row r="79" spans="1:12" x14ac:dyDescent="0.35">
      <c r="A79">
        <v>2</v>
      </c>
      <c r="B79">
        <v>20</v>
      </c>
      <c r="C79">
        <v>0</v>
      </c>
      <c r="D79">
        <v>3106</v>
      </c>
      <c r="E79">
        <v>369</v>
      </c>
      <c r="F79">
        <v>3475</v>
      </c>
      <c r="G79" t="s">
        <v>15</v>
      </c>
      <c r="H79">
        <f t="shared" si="6"/>
        <v>420</v>
      </c>
      <c r="I79">
        <f t="shared" si="10"/>
        <v>173040</v>
      </c>
      <c r="J79">
        <f t="shared" si="8"/>
        <v>154005.6</v>
      </c>
      <c r="K79">
        <f t="shared" si="9"/>
        <v>0</v>
      </c>
      <c r="L79">
        <v>2021</v>
      </c>
    </row>
    <row r="80" spans="1:12" x14ac:dyDescent="0.35">
      <c r="A80">
        <v>4</v>
      </c>
      <c r="B80">
        <v>42</v>
      </c>
      <c r="C80">
        <v>1050</v>
      </c>
      <c r="D80">
        <v>7000</v>
      </c>
      <c r="E80">
        <v>700</v>
      </c>
      <c r="F80">
        <v>7700</v>
      </c>
      <c r="G80" t="s">
        <v>15</v>
      </c>
      <c r="H80">
        <f t="shared" si="6"/>
        <v>882</v>
      </c>
      <c r="I80">
        <f t="shared" si="10"/>
        <v>726768</v>
      </c>
      <c r="J80">
        <f t="shared" si="8"/>
        <v>646823.52</v>
      </c>
      <c r="K80">
        <f t="shared" si="9"/>
        <v>25</v>
      </c>
      <c r="L80">
        <v>2021</v>
      </c>
    </row>
    <row r="81" spans="1:12" x14ac:dyDescent="0.35">
      <c r="A81">
        <v>5</v>
      </c>
      <c r="B81">
        <v>70</v>
      </c>
      <c r="C81">
        <v>0</v>
      </c>
      <c r="D81">
        <v>10000</v>
      </c>
      <c r="E81">
        <v>1100</v>
      </c>
      <c r="F81">
        <v>11100</v>
      </c>
      <c r="G81" t="s">
        <v>15</v>
      </c>
      <c r="H81">
        <f t="shared" si="6"/>
        <v>1470</v>
      </c>
      <c r="I81">
        <f t="shared" si="10"/>
        <v>1514100</v>
      </c>
      <c r="J81">
        <f t="shared" si="8"/>
        <v>1347549</v>
      </c>
      <c r="K81">
        <f t="shared" si="9"/>
        <v>0</v>
      </c>
      <c r="L81">
        <v>2021</v>
      </c>
    </row>
    <row r="82" spans="1:12" x14ac:dyDescent="0.35">
      <c r="A82">
        <v>1</v>
      </c>
      <c r="B82">
        <v>26</v>
      </c>
      <c r="C82">
        <v>600</v>
      </c>
      <c r="D82">
        <v>1326</v>
      </c>
      <c r="E82">
        <v>219</v>
      </c>
      <c r="F82">
        <v>1545</v>
      </c>
      <c r="G82" t="s">
        <v>15</v>
      </c>
      <c r="H82">
        <f t="shared" si="6"/>
        <v>546</v>
      </c>
      <c r="I82">
        <f t="shared" si="10"/>
        <v>112476</v>
      </c>
      <c r="J82">
        <f t="shared" si="8"/>
        <v>100103.64</v>
      </c>
      <c r="K82">
        <f t="shared" si="9"/>
        <v>23.076923076923077</v>
      </c>
      <c r="L82">
        <v>2021</v>
      </c>
    </row>
    <row r="83" spans="1:12" x14ac:dyDescent="0.35">
      <c r="A83">
        <v>1</v>
      </c>
      <c r="B83">
        <v>22</v>
      </c>
      <c r="C83">
        <v>600</v>
      </c>
      <c r="D83">
        <v>1326</v>
      </c>
      <c r="E83">
        <v>219</v>
      </c>
      <c r="F83">
        <v>1545</v>
      </c>
      <c r="G83" t="s">
        <v>16</v>
      </c>
      <c r="H83">
        <f t="shared" si="6"/>
        <v>462</v>
      </c>
      <c r="I83">
        <f t="shared" si="10"/>
        <v>95172</v>
      </c>
      <c r="J83">
        <f t="shared" si="8"/>
        <v>84703.08</v>
      </c>
      <c r="K83">
        <f t="shared" si="9"/>
        <v>27.272727272727273</v>
      </c>
      <c r="L83">
        <v>2021</v>
      </c>
    </row>
    <row r="84" spans="1:12" x14ac:dyDescent="0.35">
      <c r="A84">
        <v>1</v>
      </c>
      <c r="B84">
        <v>20</v>
      </c>
      <c r="C84">
        <v>1200</v>
      </c>
      <c r="D84">
        <v>1326</v>
      </c>
      <c r="E84">
        <v>219</v>
      </c>
      <c r="F84">
        <v>1545</v>
      </c>
      <c r="G84" t="s">
        <v>16</v>
      </c>
      <c r="H84">
        <f t="shared" si="6"/>
        <v>420</v>
      </c>
      <c r="I84">
        <f t="shared" si="10"/>
        <v>86520</v>
      </c>
      <c r="J84">
        <f t="shared" si="8"/>
        <v>77002.8</v>
      </c>
      <c r="K84">
        <f t="shared" si="9"/>
        <v>60</v>
      </c>
      <c r="L84">
        <v>2021</v>
      </c>
    </row>
    <row r="85" spans="1:12" x14ac:dyDescent="0.35">
      <c r="A85">
        <v>2</v>
      </c>
      <c r="B85">
        <v>21</v>
      </c>
      <c r="C85">
        <v>770</v>
      </c>
      <c r="D85">
        <v>3106</v>
      </c>
      <c r="E85">
        <v>369</v>
      </c>
      <c r="F85">
        <v>3475</v>
      </c>
      <c r="G85" t="s">
        <v>16</v>
      </c>
      <c r="H85">
        <f t="shared" si="6"/>
        <v>441</v>
      </c>
      <c r="I85">
        <f t="shared" si="10"/>
        <v>181692</v>
      </c>
      <c r="J85">
        <f t="shared" si="8"/>
        <v>161705.88</v>
      </c>
      <c r="K85">
        <f t="shared" si="9"/>
        <v>36.666666666666664</v>
      </c>
      <c r="L85">
        <v>2021</v>
      </c>
    </row>
    <row r="86" spans="1:12" x14ac:dyDescent="0.35">
      <c r="A86">
        <v>1</v>
      </c>
      <c r="B86">
        <v>31</v>
      </c>
      <c r="C86">
        <v>0</v>
      </c>
      <c r="D86">
        <v>1326</v>
      </c>
      <c r="E86">
        <v>219</v>
      </c>
      <c r="F86">
        <v>1545</v>
      </c>
      <c r="G86" t="s">
        <v>16</v>
      </c>
      <c r="H86">
        <f t="shared" si="6"/>
        <v>651</v>
      </c>
      <c r="I86">
        <f t="shared" si="10"/>
        <v>134106</v>
      </c>
      <c r="J86">
        <f t="shared" si="8"/>
        <v>119354.34</v>
      </c>
      <c r="K86">
        <f t="shared" si="9"/>
        <v>0</v>
      </c>
      <c r="L86">
        <v>2021</v>
      </c>
    </row>
    <row r="87" spans="1:12" x14ac:dyDescent="0.35">
      <c r="A87">
        <v>2</v>
      </c>
      <c r="B87">
        <v>16</v>
      </c>
      <c r="C87">
        <v>870</v>
      </c>
      <c r="D87">
        <v>3106</v>
      </c>
      <c r="E87">
        <v>369</v>
      </c>
      <c r="F87">
        <v>3475</v>
      </c>
      <c r="G87" t="s">
        <v>17</v>
      </c>
      <c r="H87">
        <f t="shared" si="6"/>
        <v>336</v>
      </c>
      <c r="I87">
        <f t="shared" si="10"/>
        <v>138432</v>
      </c>
      <c r="J87">
        <f t="shared" si="8"/>
        <v>123204.48</v>
      </c>
      <c r="K87">
        <f t="shared" si="9"/>
        <v>54.375</v>
      </c>
      <c r="L87">
        <v>2021</v>
      </c>
    </row>
    <row r="88" spans="1:12" x14ac:dyDescent="0.35">
      <c r="A88">
        <v>2</v>
      </c>
      <c r="B88">
        <v>22</v>
      </c>
      <c r="C88">
        <v>0</v>
      </c>
      <c r="D88">
        <v>3106</v>
      </c>
      <c r="E88">
        <v>369</v>
      </c>
      <c r="F88">
        <v>3475</v>
      </c>
      <c r="G88" t="s">
        <v>17</v>
      </c>
      <c r="H88">
        <f t="shared" si="6"/>
        <v>462</v>
      </c>
      <c r="I88">
        <f t="shared" si="10"/>
        <v>190344</v>
      </c>
      <c r="J88">
        <f t="shared" si="8"/>
        <v>169406.16</v>
      </c>
      <c r="K88">
        <f t="shared" si="9"/>
        <v>0</v>
      </c>
      <c r="L88">
        <v>2021</v>
      </c>
    </row>
    <row r="89" spans="1:12" x14ac:dyDescent="0.35">
      <c r="A89">
        <v>2</v>
      </c>
      <c r="B89">
        <v>28</v>
      </c>
      <c r="C89">
        <v>750</v>
      </c>
      <c r="D89">
        <v>3106</v>
      </c>
      <c r="E89">
        <v>369</v>
      </c>
      <c r="F89">
        <v>3475</v>
      </c>
      <c r="G89" t="s">
        <v>17</v>
      </c>
      <c r="H89">
        <f t="shared" si="6"/>
        <v>588</v>
      </c>
      <c r="I89">
        <f t="shared" si="10"/>
        <v>242256</v>
      </c>
      <c r="J89">
        <f t="shared" si="8"/>
        <v>215607.84</v>
      </c>
      <c r="K89">
        <f t="shared" si="9"/>
        <v>26.785714285714285</v>
      </c>
      <c r="L89">
        <v>2021</v>
      </c>
    </row>
    <row r="90" spans="1:12" x14ac:dyDescent="0.35">
      <c r="A90">
        <v>1</v>
      </c>
      <c r="B90">
        <v>26</v>
      </c>
      <c r="C90">
        <v>600</v>
      </c>
      <c r="D90">
        <v>1326</v>
      </c>
      <c r="E90">
        <v>219</v>
      </c>
      <c r="F90">
        <v>1545</v>
      </c>
      <c r="G90" t="s">
        <v>17</v>
      </c>
      <c r="H90">
        <f t="shared" si="6"/>
        <v>546</v>
      </c>
      <c r="I90">
        <f t="shared" si="10"/>
        <v>112476</v>
      </c>
      <c r="J90">
        <f t="shared" si="8"/>
        <v>100103.64</v>
      </c>
      <c r="K90">
        <f t="shared" si="9"/>
        <v>23.076923076923077</v>
      </c>
      <c r="L90">
        <v>2021</v>
      </c>
    </row>
    <row r="91" spans="1:12" x14ac:dyDescent="0.35">
      <c r="A91">
        <v>1</v>
      </c>
      <c r="B91">
        <v>26</v>
      </c>
      <c r="C91">
        <v>0</v>
      </c>
      <c r="D91">
        <v>1326</v>
      </c>
      <c r="E91">
        <v>219</v>
      </c>
      <c r="F91">
        <v>1545</v>
      </c>
      <c r="G91" t="s">
        <v>18</v>
      </c>
      <c r="H91">
        <f t="shared" si="6"/>
        <v>546</v>
      </c>
      <c r="I91">
        <f t="shared" si="10"/>
        <v>112476</v>
      </c>
      <c r="J91">
        <f t="shared" si="8"/>
        <v>100103.64</v>
      </c>
      <c r="K91">
        <f t="shared" si="9"/>
        <v>0</v>
      </c>
      <c r="L91">
        <v>2021</v>
      </c>
    </row>
    <row r="92" spans="1:12" x14ac:dyDescent="0.35">
      <c r="A92">
        <v>1</v>
      </c>
      <c r="B92">
        <v>26</v>
      </c>
      <c r="C92">
        <v>600</v>
      </c>
      <c r="D92">
        <v>1326</v>
      </c>
      <c r="E92">
        <v>219</v>
      </c>
      <c r="F92">
        <v>1545</v>
      </c>
      <c r="G92" t="s">
        <v>18</v>
      </c>
      <c r="H92">
        <f t="shared" si="6"/>
        <v>546</v>
      </c>
      <c r="I92">
        <f t="shared" si="10"/>
        <v>112476</v>
      </c>
      <c r="J92">
        <f t="shared" si="8"/>
        <v>100103.64</v>
      </c>
      <c r="K92">
        <f t="shared" si="9"/>
        <v>23.076923076923077</v>
      </c>
      <c r="L92">
        <v>2021</v>
      </c>
    </row>
    <row r="93" spans="1:12" x14ac:dyDescent="0.35">
      <c r="A93">
        <v>1</v>
      </c>
      <c r="B93">
        <v>23</v>
      </c>
      <c r="C93">
        <v>600</v>
      </c>
      <c r="D93">
        <v>1326</v>
      </c>
      <c r="E93">
        <v>219</v>
      </c>
      <c r="F93">
        <v>1545</v>
      </c>
      <c r="G93" t="s">
        <v>18</v>
      </c>
      <c r="H93">
        <f t="shared" si="6"/>
        <v>483</v>
      </c>
      <c r="I93">
        <f t="shared" si="10"/>
        <v>99498</v>
      </c>
      <c r="J93">
        <f t="shared" si="8"/>
        <v>88553.22</v>
      </c>
      <c r="K93">
        <f t="shared" si="9"/>
        <v>26.086956521739129</v>
      </c>
      <c r="L93">
        <v>2021</v>
      </c>
    </row>
    <row r="94" spans="1:12" x14ac:dyDescent="0.35">
      <c r="A94">
        <v>1</v>
      </c>
      <c r="B94">
        <v>20</v>
      </c>
      <c r="C94">
        <v>600</v>
      </c>
      <c r="D94">
        <v>1326</v>
      </c>
      <c r="E94">
        <v>219</v>
      </c>
      <c r="F94">
        <v>1545</v>
      </c>
      <c r="G94" t="s">
        <v>19</v>
      </c>
      <c r="H94">
        <f t="shared" si="6"/>
        <v>420</v>
      </c>
      <c r="I94">
        <f t="shared" si="10"/>
        <v>86520</v>
      </c>
      <c r="J94">
        <f t="shared" si="8"/>
        <v>77002.8</v>
      </c>
      <c r="K94">
        <f t="shared" si="9"/>
        <v>30</v>
      </c>
      <c r="L94">
        <v>2021</v>
      </c>
    </row>
    <row r="95" spans="1:12" x14ac:dyDescent="0.35">
      <c r="A95">
        <v>3</v>
      </c>
      <c r="B95">
        <v>15</v>
      </c>
      <c r="C95">
        <v>0</v>
      </c>
      <c r="D95">
        <v>5482</v>
      </c>
      <c r="E95">
        <v>575</v>
      </c>
      <c r="F95">
        <v>6057</v>
      </c>
      <c r="G95" t="s">
        <v>20</v>
      </c>
      <c r="H95">
        <f t="shared" si="6"/>
        <v>315</v>
      </c>
      <c r="I95">
        <f t="shared" si="10"/>
        <v>194670</v>
      </c>
      <c r="J95">
        <f t="shared" si="8"/>
        <v>173256.3</v>
      </c>
      <c r="K95">
        <f t="shared" si="9"/>
        <v>0</v>
      </c>
      <c r="L95">
        <v>2021</v>
      </c>
    </row>
    <row r="96" spans="1:12" x14ac:dyDescent="0.35">
      <c r="A96">
        <v>2</v>
      </c>
      <c r="B96">
        <v>21</v>
      </c>
      <c r="C96">
        <v>750</v>
      </c>
      <c r="D96">
        <v>3106</v>
      </c>
      <c r="E96">
        <v>369</v>
      </c>
      <c r="F96">
        <v>3475</v>
      </c>
      <c r="G96" t="s">
        <v>18</v>
      </c>
      <c r="H96">
        <f t="shared" si="6"/>
        <v>441</v>
      </c>
      <c r="I96">
        <f t="shared" si="10"/>
        <v>181692</v>
      </c>
      <c r="J96">
        <f t="shared" si="8"/>
        <v>161705.88</v>
      </c>
      <c r="K96">
        <f t="shared" si="9"/>
        <v>35.714285714285715</v>
      </c>
      <c r="L96">
        <v>2023</v>
      </c>
    </row>
    <row r="97" spans="1:12" x14ac:dyDescent="0.35">
      <c r="A97">
        <v>1</v>
      </c>
      <c r="B97">
        <v>23</v>
      </c>
      <c r="C97">
        <v>600</v>
      </c>
      <c r="D97">
        <v>1326</v>
      </c>
      <c r="E97">
        <v>219</v>
      </c>
      <c r="F97">
        <v>1545</v>
      </c>
      <c r="G97" t="s">
        <v>18</v>
      </c>
      <c r="H97">
        <f t="shared" si="6"/>
        <v>483</v>
      </c>
      <c r="I97">
        <f t="shared" si="10"/>
        <v>99498</v>
      </c>
      <c r="J97">
        <f t="shared" si="8"/>
        <v>88553.22</v>
      </c>
      <c r="K97">
        <f t="shared" si="9"/>
        <v>26.086956521739129</v>
      </c>
      <c r="L97">
        <v>2023</v>
      </c>
    </row>
    <row r="98" spans="1:12" x14ac:dyDescent="0.35">
      <c r="A98">
        <v>1</v>
      </c>
      <c r="B98">
        <v>29</v>
      </c>
      <c r="C98">
        <v>600</v>
      </c>
      <c r="D98">
        <v>1326</v>
      </c>
      <c r="E98">
        <v>219</v>
      </c>
      <c r="F98">
        <v>1545</v>
      </c>
      <c r="G98" t="s">
        <v>18</v>
      </c>
      <c r="H98">
        <f t="shared" si="6"/>
        <v>609</v>
      </c>
      <c r="I98">
        <f t="shared" si="10"/>
        <v>125454</v>
      </c>
      <c r="J98">
        <f t="shared" si="8"/>
        <v>111654.06</v>
      </c>
      <c r="K98">
        <f t="shared" si="9"/>
        <v>20.689655172413794</v>
      </c>
      <c r="L98">
        <v>2023</v>
      </c>
    </row>
    <row r="99" spans="1:12" x14ac:dyDescent="0.35">
      <c r="A99">
        <v>1</v>
      </c>
      <c r="B99">
        <v>21</v>
      </c>
      <c r="C99">
        <v>480</v>
      </c>
      <c r="D99">
        <v>1326</v>
      </c>
      <c r="E99">
        <v>219</v>
      </c>
      <c r="F99">
        <v>1545</v>
      </c>
      <c r="G99" t="s">
        <v>18</v>
      </c>
      <c r="H99">
        <f t="shared" si="6"/>
        <v>441</v>
      </c>
      <c r="I99">
        <f t="shared" si="10"/>
        <v>90846</v>
      </c>
      <c r="J99">
        <f t="shared" si="8"/>
        <v>80852.94</v>
      </c>
      <c r="K99">
        <f t="shared" si="9"/>
        <v>22.857142857142858</v>
      </c>
      <c r="L99">
        <v>2023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Sheet6</vt:lpstr>
      <vt:lpstr>Sheet7</vt:lpstr>
      <vt:lpstr>Sheet8</vt:lpstr>
      <vt:lpstr>Sheet9</vt:lpstr>
      <vt:lpstr>Sheet10</vt:lpstr>
      <vt:lpstr>Sheet12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 Roller</dc:creator>
  <dc:description/>
  <cp:lastModifiedBy>Kent Roller</cp:lastModifiedBy>
  <cp:revision>1</cp:revision>
  <dcterms:created xsi:type="dcterms:W3CDTF">2023-09-19T03:52:02Z</dcterms:created>
  <dcterms:modified xsi:type="dcterms:W3CDTF">2023-12-08T00:24:47Z</dcterms:modified>
  <dc:language>en-US</dc:language>
</cp:coreProperties>
</file>