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7c41d8bb86f71b/Documents/"/>
    </mc:Choice>
  </mc:AlternateContent>
  <xr:revisionPtr revIDLastSave="271" documentId="8_{14144556-CC46-4B64-A904-4BBC1B88FD13}" xr6:coauthVersionLast="47" xr6:coauthVersionMax="47" xr10:uidLastSave="{AE1C2E67-296C-4696-9D1D-D5125C91CDD3}"/>
  <bookViews>
    <workbookView xWindow="-105" yWindow="0" windowWidth="19410" windowHeight="20985" xr2:uid="{86E1D709-06DC-4812-934D-521018619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1" l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0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3" i="1"/>
  <c r="J12" i="1"/>
  <c r="J10" i="1"/>
  <c r="J9" i="1"/>
  <c r="J8" i="1"/>
  <c r="J7" i="1"/>
  <c r="J6" i="1"/>
  <c r="J5" i="1"/>
  <c r="J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0" i="1"/>
  <c r="I29" i="1"/>
  <c r="I27" i="1"/>
  <c r="I26" i="1"/>
  <c r="I25" i="1"/>
  <c r="I24" i="1"/>
  <c r="I23" i="1"/>
  <c r="I22" i="1"/>
  <c r="I21" i="1"/>
  <c r="I20" i="1"/>
  <c r="I18" i="1"/>
  <c r="I17" i="1"/>
  <c r="I16" i="1"/>
  <c r="I15" i="1"/>
  <c r="I13" i="1"/>
  <c r="I12" i="1"/>
  <c r="I10" i="1"/>
  <c r="I9" i="1"/>
  <c r="I8" i="1"/>
  <c r="I6" i="1"/>
  <c r="I5" i="1"/>
  <c r="I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0" i="1"/>
  <c r="H29" i="1"/>
  <c r="H27" i="1"/>
  <c r="H26" i="1"/>
  <c r="H25" i="1"/>
  <c r="H24" i="1"/>
  <c r="H23" i="1"/>
  <c r="H22" i="1"/>
  <c r="H21" i="1"/>
  <c r="H20" i="1"/>
  <c r="H18" i="1"/>
  <c r="H17" i="1"/>
  <c r="H16" i="1"/>
  <c r="H15" i="1"/>
  <c r="H13" i="1"/>
  <c r="H12" i="1"/>
  <c r="H10" i="1"/>
  <c r="H9" i="1"/>
  <c r="H8" i="1"/>
  <c r="H6" i="1"/>
  <c r="H5" i="1"/>
  <c r="H2" i="1"/>
  <c r="F58" i="1"/>
  <c r="E58" i="1"/>
  <c r="D58" i="1"/>
  <c r="F57" i="1"/>
  <c r="E57" i="1"/>
  <c r="D57" i="1"/>
  <c r="F47" i="1"/>
  <c r="E47" i="1"/>
  <c r="D47" i="1"/>
  <c r="F42" i="1"/>
  <c r="E42" i="1"/>
  <c r="D42" i="1"/>
  <c r="F41" i="1"/>
  <c r="E41" i="1"/>
  <c r="D41" i="1"/>
  <c r="F40" i="1"/>
  <c r="E40" i="1"/>
  <c r="D40" i="1"/>
  <c r="F30" i="1"/>
  <c r="E30" i="1"/>
  <c r="D30" i="1"/>
  <c r="F29" i="1"/>
  <c r="E29" i="1"/>
  <c r="D29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F21" i="1"/>
  <c r="E21" i="1"/>
  <c r="D21" i="1"/>
  <c r="F20" i="1"/>
  <c r="E20" i="1"/>
  <c r="D20" i="1"/>
  <c r="F18" i="1"/>
  <c r="E18" i="1"/>
  <c r="D18" i="1"/>
  <c r="F17" i="1"/>
  <c r="F16" i="1"/>
  <c r="E16" i="1"/>
  <c r="D15" i="1"/>
  <c r="D16" i="1"/>
  <c r="F15" i="1"/>
  <c r="E15" i="1"/>
  <c r="F5" i="1"/>
  <c r="F2" i="1"/>
  <c r="F13" i="1"/>
  <c r="E13" i="1"/>
  <c r="D13" i="1"/>
</calcChain>
</file>

<file path=xl/sharedStrings.xml><?xml version="1.0" encoding="utf-8"?>
<sst xmlns="http://schemas.openxmlformats.org/spreadsheetml/2006/main" count="71" uniqueCount="20">
  <si>
    <t># of teams</t>
  </si>
  <si>
    <t xml:space="preserve">Amount Charged </t>
  </si>
  <si>
    <t># of days</t>
  </si>
  <si>
    <t>Labor Cost for event</t>
  </si>
  <si>
    <t>Material Cost</t>
  </si>
  <si>
    <t>Note: Cells 2-36 are 2022 data, 37-64 2023</t>
  </si>
  <si>
    <t>Total Event Cost</t>
  </si>
  <si>
    <t xml:space="preserve">Month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</si>
  <si>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</si>
  <si>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</si>
  <si>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</si>
  <si>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</si>
  <si>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</si>
  <si>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</si>
  <si>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</si>
  <si>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</si>
  <si>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</si>
  <si>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 number of players/parties(assuming 21 total per team)</t>
  </si>
  <si>
    <t>Total spent per event(assuming $206/day)</t>
  </si>
  <si>
    <t>Total spent nonlocal (assuming 89%)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</si>
</sst>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E252-081E-45C2-9C66-1942C2CCB8B2}">
  <dimension ref="A1:M61"/>
  <sheetViews>
    <sheetView tabSelected="1" topLeftCell="G9" workbookViewId="0">
      <selection activeCell="J62" sqref="J62"/>
    </sheetView>
  </sheetViews>
  <sheetFormatPr defaultRowHeight="15" x14ac:dyDescent="0.25"/>
  <cols>
    <col min="1" max="1" width="15.28515625" customWidth="1"/>
    <col min="2" max="2" width="10.5703125" customWidth="1"/>
    <col min="3" max="3" width="16" customWidth="1"/>
    <col min="4" max="4" width="20.7109375" customWidth="1"/>
    <col min="5" max="5" width="12.7109375" customWidth="1"/>
    <col min="6" max="6" width="17.28515625" customWidth="1"/>
    <col min="7" max="7" width="17.7109375" customWidth="1"/>
    <col min="8" max="8" width="57.7109375" customWidth="1"/>
    <col min="9" max="9" width="39.5703125" customWidth="1"/>
    <col min="10" max="10" width="33.7109375" customWidth="1"/>
    <col min="13" max="13" width="43.140625" customWidth="1"/>
  </cols>
  <sheetData>
    <row r="1" spans="1:13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6</v>
      </c>
      <c r="G1" t="s">
        <v>7</v>
      </c>
      <c r="H1" t="s">
        <v>17</v>
      </c>
      <c r="I1" t="s">
        <v>18</v>
      </c>
      <c r="J1" t="s">
        <v>19</v>
      </c>
      <c r="M1" t="s">
        <v>5</v>
      </c>
    </row>
    <row r="2" spans="1:13" x14ac:dyDescent="0.25">
      <c r="A2">
        <v>2</v>
      </c>
      <c r="B2">
        <v>29</v>
      </c>
      <c r="C2">
        <v>820</v>
      </c>
      <c r="D2">
        <v>3106</v>
      </c>
      <c r="E2">
        <v>369</v>
      </c>
      <c r="F2">
        <f>D2+E2</f>
        <v>3475</v>
      </c>
      <c r="G2" t="s">
        <v>8</v>
      </c>
      <c r="H2">
        <f>B2*21</f>
        <v>609</v>
      </c>
      <c r="I2">
        <f>A2*H2*206</f>
        <v>250908</v>
      </c>
      <c r="J2">
        <f>I2*0.89</f>
        <v>223308.12</v>
      </c>
    </row>
    <row r="3" spans="1:1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  <c r="H3">
        <v>0</v>
      </c>
      <c r="I3">
        <v>0</v>
      </c>
      <c r="J3">
        <v>0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 t="s">
        <v>8</v>
      </c>
      <c r="H4">
        <v>0</v>
      </c>
      <c r="I4">
        <v>0</v>
      </c>
      <c r="J4">
        <v>0</v>
      </c>
    </row>
    <row r="5" spans="1:13" x14ac:dyDescent="0.25">
      <c r="A5">
        <v>1</v>
      </c>
      <c r="B5">
        <v>20</v>
      </c>
      <c r="C5">
        <v>600</v>
      </c>
      <c r="D5">
        <v>1326</v>
      </c>
      <c r="E5">
        <v>219</v>
      </c>
      <c r="F5">
        <f>D5+E5</f>
        <v>1545</v>
      </c>
      <c r="G5" t="s">
        <v>8</v>
      </c>
      <c r="H5">
        <f>B5*21</f>
        <v>420</v>
      </c>
      <c r="I5">
        <f>A5*H5*206</f>
        <v>86520</v>
      </c>
      <c r="J5">
        <f>I5*0.89</f>
        <v>77002.8</v>
      </c>
    </row>
    <row r="6" spans="1:13" x14ac:dyDescent="0.25">
      <c r="A6">
        <v>2</v>
      </c>
      <c r="B6">
        <v>26</v>
      </c>
      <c r="C6">
        <v>900</v>
      </c>
      <c r="D6">
        <v>3106</v>
      </c>
      <c r="E6">
        <v>369</v>
      </c>
      <c r="F6">
        <v>3475</v>
      </c>
      <c r="G6" t="s">
        <v>9</v>
      </c>
      <c r="H6">
        <f>B6*21</f>
        <v>546</v>
      </c>
      <c r="I6">
        <f>A6*H6*206</f>
        <v>224952</v>
      </c>
      <c r="J6">
        <f>I6*0.89</f>
        <v>200207.28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 t="s">
        <v>9</v>
      </c>
      <c r="H7">
        <v>0</v>
      </c>
      <c r="I7">
        <v>0</v>
      </c>
      <c r="J7">
        <f>I7*0.89</f>
        <v>0</v>
      </c>
    </row>
    <row r="8" spans="1:13" x14ac:dyDescent="0.25">
      <c r="A8">
        <v>1</v>
      </c>
      <c r="B8">
        <v>23</v>
      </c>
      <c r="C8">
        <v>600</v>
      </c>
      <c r="D8">
        <v>1326</v>
      </c>
      <c r="E8">
        <v>219</v>
      </c>
      <c r="F8">
        <v>1545</v>
      </c>
      <c r="G8" t="s">
        <v>9</v>
      </c>
      <c r="H8">
        <f>B8*21</f>
        <v>483</v>
      </c>
      <c r="I8">
        <f>A8*H8*206</f>
        <v>99498</v>
      </c>
      <c r="J8">
        <f>I8*0.89</f>
        <v>88553.22</v>
      </c>
    </row>
    <row r="9" spans="1:13" x14ac:dyDescent="0.25">
      <c r="A9">
        <v>2</v>
      </c>
      <c r="B9">
        <v>36</v>
      </c>
      <c r="C9">
        <v>870</v>
      </c>
      <c r="D9">
        <v>3106</v>
      </c>
      <c r="E9">
        <v>369</v>
      </c>
      <c r="F9">
        <v>3475</v>
      </c>
      <c r="G9" t="s">
        <v>9</v>
      </c>
      <c r="H9">
        <f>B9*21</f>
        <v>756</v>
      </c>
      <c r="I9">
        <f>A9*H9*206</f>
        <v>311472</v>
      </c>
      <c r="J9">
        <f>I9*0.89</f>
        <v>277210.08</v>
      </c>
    </row>
    <row r="10" spans="1:13" x14ac:dyDescent="0.25">
      <c r="A10">
        <v>2</v>
      </c>
      <c r="B10">
        <v>32</v>
      </c>
      <c r="C10">
        <v>900</v>
      </c>
      <c r="D10">
        <v>3106</v>
      </c>
      <c r="E10">
        <v>369</v>
      </c>
      <c r="F10">
        <v>3475</v>
      </c>
      <c r="G10" t="s">
        <v>9</v>
      </c>
      <c r="H10">
        <f>B10*21</f>
        <v>672</v>
      </c>
      <c r="I10">
        <f>A10*H10*206</f>
        <v>276864</v>
      </c>
      <c r="J10">
        <f>I10*0.89</f>
        <v>246408.95999999999</v>
      </c>
    </row>
    <row r="11" spans="1:13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10</v>
      </c>
      <c r="H11">
        <v>0</v>
      </c>
      <c r="I11">
        <v>0</v>
      </c>
      <c r="J11">
        <v>0</v>
      </c>
    </row>
    <row r="12" spans="1:13" x14ac:dyDescent="0.25">
      <c r="A12">
        <v>1</v>
      </c>
      <c r="B12">
        <v>28</v>
      </c>
      <c r="C12">
        <v>600</v>
      </c>
      <c r="D12">
        <v>1326</v>
      </c>
      <c r="E12">
        <v>219</v>
      </c>
      <c r="F12">
        <v>1545</v>
      </c>
      <c r="G12" t="s">
        <v>10</v>
      </c>
      <c r="H12">
        <f>B12*21</f>
        <v>588</v>
      </c>
      <c r="I12">
        <f>A12*H12*206</f>
        <v>121128</v>
      </c>
      <c r="J12">
        <f>I12*0.89</f>
        <v>107803.92</v>
      </c>
    </row>
    <row r="13" spans="1:13" x14ac:dyDescent="0.25">
      <c r="A13">
        <v>2</v>
      </c>
      <c r="B13">
        <v>22</v>
      </c>
      <c r="C13">
        <v>450</v>
      </c>
      <c r="D13">
        <f>D2</f>
        <v>3106</v>
      </c>
      <c r="E13">
        <f>E2</f>
        <v>369</v>
      </c>
      <c r="F13">
        <f>D13+E13</f>
        <v>3475</v>
      </c>
      <c r="G13" t="s">
        <v>10</v>
      </c>
      <c r="H13">
        <f>B13*21</f>
        <v>462</v>
      </c>
      <c r="I13">
        <f>A13*H13*206</f>
        <v>190344</v>
      </c>
      <c r="J13">
        <f>I13*0.89</f>
        <v>169406.16</v>
      </c>
    </row>
    <row r="14" spans="1:13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10</v>
      </c>
      <c r="H14">
        <v>0</v>
      </c>
      <c r="I14">
        <v>0</v>
      </c>
      <c r="J14">
        <v>0</v>
      </c>
    </row>
    <row r="15" spans="1:13" x14ac:dyDescent="0.25">
      <c r="A15">
        <v>2</v>
      </c>
      <c r="B15">
        <v>28</v>
      </c>
      <c r="C15">
        <v>600</v>
      </c>
      <c r="D15">
        <f>D2</f>
        <v>3106</v>
      </c>
      <c r="E15">
        <f>E2</f>
        <v>369</v>
      </c>
      <c r="F15">
        <f>F2</f>
        <v>3475</v>
      </c>
      <c r="G15" t="s">
        <v>11</v>
      </c>
      <c r="H15">
        <f>B15*21</f>
        <v>588</v>
      </c>
      <c r="I15">
        <f>A15*H15*206</f>
        <v>242256</v>
      </c>
      <c r="J15">
        <f>I15*0.89</f>
        <v>215607.84</v>
      </c>
    </row>
    <row r="16" spans="1:13" x14ac:dyDescent="0.25">
      <c r="A16">
        <v>2</v>
      </c>
      <c r="B16">
        <v>22</v>
      </c>
      <c r="C16">
        <v>870</v>
      </c>
      <c r="D16">
        <f>D2</f>
        <v>3106</v>
      </c>
      <c r="E16">
        <f>E2</f>
        <v>369</v>
      </c>
      <c r="F16">
        <f>F2</f>
        <v>3475</v>
      </c>
      <c r="G16" t="s">
        <v>11</v>
      </c>
      <c r="H16">
        <f>B16*21</f>
        <v>462</v>
      </c>
      <c r="I16">
        <f>A16*H16*206</f>
        <v>190344</v>
      </c>
      <c r="J16">
        <f>I16*0.89</f>
        <v>169406.16</v>
      </c>
    </row>
    <row r="17" spans="1:10" x14ac:dyDescent="0.25">
      <c r="A17">
        <v>3</v>
      </c>
      <c r="B17">
        <v>24</v>
      </c>
      <c r="C17">
        <v>1000</v>
      </c>
      <c r="D17">
        <v>5482</v>
      </c>
      <c r="E17">
        <v>575</v>
      </c>
      <c r="F17">
        <f>D17+E17</f>
        <v>6057</v>
      </c>
      <c r="G17" t="s">
        <v>11</v>
      </c>
      <c r="H17">
        <f>B17*21</f>
        <v>504</v>
      </c>
      <c r="I17">
        <f>A17*H17*206</f>
        <v>311472</v>
      </c>
      <c r="J17">
        <f>I17*0.89</f>
        <v>277210.08</v>
      </c>
    </row>
    <row r="18" spans="1:10" x14ac:dyDescent="0.25">
      <c r="A18">
        <v>1</v>
      </c>
      <c r="B18">
        <v>29</v>
      </c>
      <c r="C18">
        <v>600</v>
      </c>
      <c r="D18">
        <f>D5</f>
        <v>1326</v>
      </c>
      <c r="E18">
        <f>E5</f>
        <v>219</v>
      </c>
      <c r="F18">
        <f>F5</f>
        <v>1545</v>
      </c>
      <c r="G18" t="s">
        <v>11</v>
      </c>
      <c r="H18">
        <f>B18*21</f>
        <v>609</v>
      </c>
      <c r="I18">
        <f>A18*H18*206</f>
        <v>125454</v>
      </c>
      <c r="J18">
        <f>I18*0.89</f>
        <v>111654.06</v>
      </c>
    </row>
    <row r="19" spans="1:1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12</v>
      </c>
      <c r="H19">
        <v>0</v>
      </c>
      <c r="I19">
        <v>0</v>
      </c>
      <c r="J19">
        <f>I19*0.89</f>
        <v>0</v>
      </c>
    </row>
    <row r="20" spans="1:10" x14ac:dyDescent="0.25">
      <c r="A20">
        <v>3</v>
      </c>
      <c r="B20">
        <v>26</v>
      </c>
      <c r="C20">
        <v>870</v>
      </c>
      <c r="D20">
        <f>D17</f>
        <v>5482</v>
      </c>
      <c r="E20">
        <f>E17</f>
        <v>575</v>
      </c>
      <c r="F20">
        <f>F17</f>
        <v>6057</v>
      </c>
      <c r="G20" t="s">
        <v>12</v>
      </c>
      <c r="H20">
        <f>B20*21</f>
        <v>546</v>
      </c>
      <c r="I20">
        <f>A20*H20*206</f>
        <v>337428</v>
      </c>
      <c r="J20">
        <f>I20*0.89</f>
        <v>300310.92</v>
      </c>
    </row>
    <row r="21" spans="1:10" x14ac:dyDescent="0.25">
      <c r="A21">
        <v>2</v>
      </c>
      <c r="B21">
        <v>26</v>
      </c>
      <c r="C21">
        <v>1050</v>
      </c>
      <c r="D21">
        <f>D2</f>
        <v>3106</v>
      </c>
      <c r="E21">
        <f>E2</f>
        <v>369</v>
      </c>
      <c r="F21">
        <f>F2</f>
        <v>3475</v>
      </c>
      <c r="G21" t="s">
        <v>12</v>
      </c>
      <c r="H21">
        <f>B21*21</f>
        <v>546</v>
      </c>
      <c r="I21">
        <f>A21*H21*206</f>
        <v>224952</v>
      </c>
      <c r="J21">
        <f>I21*0.89</f>
        <v>200207.28</v>
      </c>
    </row>
    <row r="22" spans="1:10" x14ac:dyDescent="0.25">
      <c r="A22">
        <v>4</v>
      </c>
      <c r="B22">
        <v>43</v>
      </c>
      <c r="C22">
        <v>1000</v>
      </c>
      <c r="D22">
        <v>7000</v>
      </c>
      <c r="E22">
        <v>700</v>
      </c>
      <c r="F22">
        <f>D22+E22</f>
        <v>7700</v>
      </c>
      <c r="G22" t="s">
        <v>12</v>
      </c>
      <c r="H22">
        <f>B22*21</f>
        <v>903</v>
      </c>
      <c r="I22">
        <f>A22*H22*206</f>
        <v>744072</v>
      </c>
      <c r="J22">
        <f>I22*0.89</f>
        <v>662224.07999999996</v>
      </c>
    </row>
    <row r="23" spans="1:10" x14ac:dyDescent="0.25">
      <c r="A23">
        <v>1</v>
      </c>
      <c r="B23">
        <v>28</v>
      </c>
      <c r="C23">
        <v>600</v>
      </c>
      <c r="D23">
        <f>D5</f>
        <v>1326</v>
      </c>
      <c r="E23">
        <f>E5</f>
        <v>219</v>
      </c>
      <c r="F23">
        <f>F5</f>
        <v>1545</v>
      </c>
      <c r="G23" t="s">
        <v>13</v>
      </c>
      <c r="H23">
        <f>B23*21</f>
        <v>588</v>
      </c>
      <c r="I23">
        <f>A23*H23*206</f>
        <v>121128</v>
      </c>
      <c r="J23">
        <f>I23*0.89</f>
        <v>107803.92</v>
      </c>
    </row>
    <row r="24" spans="1:10" x14ac:dyDescent="0.25">
      <c r="A24">
        <v>1</v>
      </c>
      <c r="B24">
        <v>19</v>
      </c>
      <c r="C24">
        <v>400</v>
      </c>
      <c r="D24">
        <f>D5</f>
        <v>1326</v>
      </c>
      <c r="E24">
        <f>E5</f>
        <v>219</v>
      </c>
      <c r="F24">
        <f>F5</f>
        <v>1545</v>
      </c>
      <c r="G24" t="s">
        <v>13</v>
      </c>
      <c r="H24">
        <f>B24*21</f>
        <v>399</v>
      </c>
      <c r="I24">
        <f>A24*H24*206</f>
        <v>82194</v>
      </c>
      <c r="J24">
        <f>I24*0.89</f>
        <v>73152.66</v>
      </c>
    </row>
    <row r="25" spans="1:10" x14ac:dyDescent="0.25">
      <c r="A25">
        <v>2</v>
      </c>
      <c r="B25">
        <v>16</v>
      </c>
      <c r="C25">
        <v>870</v>
      </c>
      <c r="D25">
        <f>D2</f>
        <v>3106</v>
      </c>
      <c r="E25">
        <f>E2</f>
        <v>369</v>
      </c>
      <c r="F25">
        <f>F2</f>
        <v>3475</v>
      </c>
      <c r="G25" t="s">
        <v>13</v>
      </c>
      <c r="H25">
        <f>B25*21</f>
        <v>336</v>
      </c>
      <c r="I25">
        <f>A25*H25*206</f>
        <v>138432</v>
      </c>
      <c r="J25">
        <f>I25*0.89</f>
        <v>123204.48</v>
      </c>
    </row>
    <row r="26" spans="1:10" x14ac:dyDescent="0.25">
      <c r="A26">
        <v>1</v>
      </c>
      <c r="B26">
        <v>20</v>
      </c>
      <c r="C26">
        <v>600</v>
      </c>
      <c r="D26">
        <f>D5</f>
        <v>1326</v>
      </c>
      <c r="E26">
        <f>E5</f>
        <v>219</v>
      </c>
      <c r="F26">
        <f>F5</f>
        <v>1545</v>
      </c>
      <c r="G26" t="s">
        <v>13</v>
      </c>
      <c r="H26">
        <f>B26*21</f>
        <v>420</v>
      </c>
      <c r="I26">
        <f>A26*H26*206</f>
        <v>86520</v>
      </c>
      <c r="J26">
        <f>I26*0.89</f>
        <v>77002.8</v>
      </c>
    </row>
    <row r="27" spans="1:10" x14ac:dyDescent="0.25">
      <c r="A27">
        <v>2</v>
      </c>
      <c r="B27">
        <v>12</v>
      </c>
      <c r="C27">
        <v>870</v>
      </c>
      <c r="D27">
        <f>D2</f>
        <v>3106</v>
      </c>
      <c r="E27">
        <f>E2</f>
        <v>369</v>
      </c>
      <c r="F27">
        <f>F2</f>
        <v>3475</v>
      </c>
      <c r="G27" t="s">
        <v>14</v>
      </c>
      <c r="H27">
        <f>B27*21</f>
        <v>252</v>
      </c>
      <c r="I27">
        <f>A27*H27*206</f>
        <v>103824</v>
      </c>
      <c r="J27">
        <f>I27*0.89</f>
        <v>92403.36</v>
      </c>
    </row>
    <row r="28" spans="1:1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14</v>
      </c>
      <c r="H28">
        <v>0</v>
      </c>
      <c r="I28">
        <v>0</v>
      </c>
      <c r="J28">
        <v>0</v>
      </c>
    </row>
    <row r="29" spans="1:10" x14ac:dyDescent="0.25">
      <c r="A29">
        <v>1</v>
      </c>
      <c r="B29">
        <v>33</v>
      </c>
      <c r="C29">
        <v>600</v>
      </c>
      <c r="D29">
        <f>D5</f>
        <v>1326</v>
      </c>
      <c r="E29">
        <f>E5</f>
        <v>219</v>
      </c>
      <c r="F29">
        <f>F5</f>
        <v>1545</v>
      </c>
      <c r="G29" t="s">
        <v>14</v>
      </c>
      <c r="H29">
        <f>B29*21</f>
        <v>693</v>
      </c>
      <c r="I29">
        <f>A29*H29*205</f>
        <v>142065</v>
      </c>
      <c r="J29">
        <f>I29*0.89</f>
        <v>126437.85</v>
      </c>
    </row>
    <row r="30" spans="1:10" x14ac:dyDescent="0.25">
      <c r="A30">
        <v>1</v>
      </c>
      <c r="B30">
        <v>31</v>
      </c>
      <c r="C30">
        <v>670</v>
      </c>
      <c r="D30">
        <f>D5</f>
        <v>1326</v>
      </c>
      <c r="E30">
        <f>E5</f>
        <v>219</v>
      </c>
      <c r="F30">
        <f>F5</f>
        <v>1545</v>
      </c>
      <c r="G30" t="s">
        <v>14</v>
      </c>
      <c r="H30">
        <f>B30*21</f>
        <v>651</v>
      </c>
      <c r="I30">
        <f>A30*H30*206</f>
        <v>134106</v>
      </c>
      <c r="J30">
        <f>I30*0.89</f>
        <v>119354.34</v>
      </c>
    </row>
    <row r="31" spans="1:1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15</v>
      </c>
      <c r="H31">
        <v>0</v>
      </c>
      <c r="I31">
        <v>0</v>
      </c>
      <c r="J31">
        <v>0</v>
      </c>
    </row>
    <row r="32" spans="1:10" x14ac:dyDescent="0.25">
      <c r="A32">
        <v>1</v>
      </c>
      <c r="B32">
        <v>19</v>
      </c>
      <c r="C32">
        <v>600</v>
      </c>
      <c r="D32">
        <v>1326</v>
      </c>
      <c r="E32">
        <v>219</v>
      </c>
      <c r="F32">
        <v>1545</v>
      </c>
      <c r="G32" t="s">
        <v>15</v>
      </c>
      <c r="H32">
        <f>B32*21</f>
        <v>399</v>
      </c>
      <c r="I32">
        <f>A32*H32*206</f>
        <v>82194</v>
      </c>
      <c r="J32">
        <f>I32*0.89</f>
        <v>73152.66</v>
      </c>
    </row>
    <row r="33" spans="1:10" x14ac:dyDescent="0.25">
      <c r="A33">
        <v>1</v>
      </c>
      <c r="B33">
        <v>29</v>
      </c>
      <c r="C33">
        <v>600</v>
      </c>
      <c r="D33">
        <v>1326</v>
      </c>
      <c r="E33">
        <v>219</v>
      </c>
      <c r="F33">
        <v>1545</v>
      </c>
      <c r="G33" t="s">
        <v>15</v>
      </c>
      <c r="H33">
        <f>B33*21</f>
        <v>609</v>
      </c>
      <c r="I33">
        <f>A33*H33*206</f>
        <v>125454</v>
      </c>
      <c r="J33">
        <f>I33*0.89</f>
        <v>111654.06</v>
      </c>
    </row>
    <row r="34" spans="1:10" x14ac:dyDescent="0.25">
      <c r="A34">
        <v>1</v>
      </c>
      <c r="B34">
        <v>18</v>
      </c>
      <c r="C34">
        <v>600</v>
      </c>
      <c r="D34">
        <v>1326</v>
      </c>
      <c r="E34">
        <v>219</v>
      </c>
      <c r="F34">
        <v>1545</v>
      </c>
      <c r="G34" t="s">
        <v>15</v>
      </c>
      <c r="H34">
        <f>B34*21</f>
        <v>378</v>
      </c>
      <c r="I34">
        <f>A34*H34*206</f>
        <v>77868</v>
      </c>
      <c r="J34">
        <f>I34*0.89</f>
        <v>69302.52</v>
      </c>
    </row>
    <row r="35" spans="1:10" x14ac:dyDescent="0.25">
      <c r="A35">
        <v>1</v>
      </c>
      <c r="B35">
        <v>18</v>
      </c>
      <c r="C35">
        <v>600</v>
      </c>
      <c r="D35">
        <v>1326</v>
      </c>
      <c r="E35">
        <v>219</v>
      </c>
      <c r="F35">
        <v>1545</v>
      </c>
      <c r="G35" t="s">
        <v>16</v>
      </c>
      <c r="H35">
        <f>B35*21</f>
        <v>378</v>
      </c>
      <c r="I35">
        <f>A35*H35*206</f>
        <v>77868</v>
      </c>
      <c r="J35">
        <f>I35*0.89</f>
        <v>69302.52</v>
      </c>
    </row>
    <row r="36" spans="1:10" x14ac:dyDescent="0.25">
      <c r="A36">
        <v>1</v>
      </c>
      <c r="B36">
        <v>16</v>
      </c>
      <c r="C36">
        <v>600</v>
      </c>
      <c r="D36">
        <v>1326</v>
      </c>
      <c r="E36">
        <v>219</v>
      </c>
      <c r="F36">
        <v>1545</v>
      </c>
      <c r="G36" t="s">
        <v>16</v>
      </c>
      <c r="H36">
        <f>B36*21</f>
        <v>336</v>
      </c>
      <c r="I36">
        <f>A36*H36*206</f>
        <v>69216</v>
      </c>
      <c r="J36">
        <f>I36*0.89</f>
        <v>61602.239999999998</v>
      </c>
    </row>
    <row r="37" spans="1:10" x14ac:dyDescent="0.25">
      <c r="A37">
        <v>2</v>
      </c>
      <c r="B37">
        <v>9</v>
      </c>
      <c r="C37">
        <v>870</v>
      </c>
      <c r="D37">
        <v>3106</v>
      </c>
      <c r="E37">
        <v>369</v>
      </c>
      <c r="F37">
        <v>3475</v>
      </c>
      <c r="G37" t="s">
        <v>8</v>
      </c>
      <c r="H37">
        <f>B37*21</f>
        <v>189</v>
      </c>
      <c r="I37">
        <f>A37*H37*206</f>
        <v>77868</v>
      </c>
      <c r="J37">
        <f>I37*0.89</f>
        <v>69302.52</v>
      </c>
    </row>
    <row r="38" spans="1:10" x14ac:dyDescent="0.25">
      <c r="A38">
        <v>2</v>
      </c>
      <c r="B38">
        <v>9</v>
      </c>
      <c r="C38">
        <v>700</v>
      </c>
      <c r="D38">
        <v>3106</v>
      </c>
      <c r="E38">
        <v>369</v>
      </c>
      <c r="F38">
        <v>3475</v>
      </c>
      <c r="G38" t="s">
        <v>8</v>
      </c>
      <c r="H38">
        <f>B38*21</f>
        <v>189</v>
      </c>
      <c r="I38">
        <f>A38*H38*206</f>
        <v>77868</v>
      </c>
      <c r="J38">
        <f>I38*0.89</f>
        <v>69302.52</v>
      </c>
    </row>
    <row r="39" spans="1:10" x14ac:dyDescent="0.25">
      <c r="A39">
        <v>2</v>
      </c>
      <c r="B39">
        <v>9</v>
      </c>
      <c r="C39">
        <v>500</v>
      </c>
      <c r="D39">
        <v>3106</v>
      </c>
      <c r="E39">
        <v>369</v>
      </c>
      <c r="F39">
        <v>3475</v>
      </c>
      <c r="G39" t="s">
        <v>8</v>
      </c>
      <c r="H39">
        <f>B39*21</f>
        <v>189</v>
      </c>
      <c r="I39">
        <f>A39*H39*206</f>
        <v>77868</v>
      </c>
      <c r="J39">
        <f>I39*0.89</f>
        <v>69302.52</v>
      </c>
    </row>
    <row r="40" spans="1:10" x14ac:dyDescent="0.25">
      <c r="A40">
        <v>1</v>
      </c>
      <c r="B40">
        <v>24</v>
      </c>
      <c r="C40">
        <v>1029</v>
      </c>
      <c r="D40">
        <f>D5</f>
        <v>1326</v>
      </c>
      <c r="E40">
        <f>E5</f>
        <v>219</v>
      </c>
      <c r="F40">
        <f>F5</f>
        <v>1545</v>
      </c>
      <c r="G40" t="s">
        <v>8</v>
      </c>
      <c r="H40">
        <f>B40*21</f>
        <v>504</v>
      </c>
      <c r="I40">
        <f>A40*H40*206</f>
        <v>103824</v>
      </c>
      <c r="J40">
        <f>I40*0.89</f>
        <v>92403.36</v>
      </c>
    </row>
    <row r="41" spans="1:10" x14ac:dyDescent="0.25">
      <c r="A41">
        <v>2</v>
      </c>
      <c r="B41">
        <v>23</v>
      </c>
      <c r="C41">
        <v>1130</v>
      </c>
      <c r="D41">
        <f>D2</f>
        <v>3106</v>
      </c>
      <c r="E41">
        <f>E2</f>
        <v>369</v>
      </c>
      <c r="F41">
        <f>F2</f>
        <v>3475</v>
      </c>
      <c r="G41" t="s">
        <v>9</v>
      </c>
      <c r="H41">
        <f>B41*21</f>
        <v>483</v>
      </c>
      <c r="I41">
        <f>A41*H41*206</f>
        <v>198996</v>
      </c>
      <c r="J41">
        <f>I41*0.89</f>
        <v>177106.44</v>
      </c>
    </row>
    <row r="42" spans="1:10" x14ac:dyDescent="0.25">
      <c r="A42">
        <v>1</v>
      </c>
      <c r="B42">
        <v>22</v>
      </c>
      <c r="C42">
        <v>500</v>
      </c>
      <c r="D42">
        <f>D5</f>
        <v>1326</v>
      </c>
      <c r="E42">
        <f>E5</f>
        <v>219</v>
      </c>
      <c r="F42">
        <f>F5</f>
        <v>1545</v>
      </c>
      <c r="G42" t="s">
        <v>9</v>
      </c>
      <c r="H42">
        <f>B42*21</f>
        <v>462</v>
      </c>
      <c r="I42">
        <f>A42*H42*206</f>
        <v>95172</v>
      </c>
      <c r="J42">
        <f>I42*0.89</f>
        <v>84703.08</v>
      </c>
    </row>
    <row r="43" spans="1:10" x14ac:dyDescent="0.25">
      <c r="A43">
        <v>2</v>
      </c>
      <c r="B43">
        <v>26</v>
      </c>
      <c r="C43">
        <v>1273</v>
      </c>
      <c r="D43">
        <v>3106</v>
      </c>
      <c r="E43">
        <v>369</v>
      </c>
      <c r="F43">
        <v>3475</v>
      </c>
      <c r="G43" t="s">
        <v>9</v>
      </c>
      <c r="H43">
        <f>B43*21</f>
        <v>546</v>
      </c>
      <c r="I43">
        <f>A43*H43*206</f>
        <v>224952</v>
      </c>
      <c r="J43">
        <f>I43*0.89</f>
        <v>200207.28</v>
      </c>
    </row>
    <row r="44" spans="1:10" x14ac:dyDescent="0.25">
      <c r="A44">
        <v>2</v>
      </c>
      <c r="B44">
        <v>34</v>
      </c>
      <c r="C44">
        <v>650</v>
      </c>
      <c r="D44">
        <v>3106</v>
      </c>
      <c r="E44">
        <v>369</v>
      </c>
      <c r="F44">
        <v>3475</v>
      </c>
      <c r="G44" t="s">
        <v>9</v>
      </c>
      <c r="H44">
        <f>B44*21</f>
        <v>714</v>
      </c>
      <c r="I44">
        <f>A44*H44*206</f>
        <v>294168</v>
      </c>
      <c r="J44">
        <f>I44*0.89</f>
        <v>261809.52</v>
      </c>
    </row>
    <row r="45" spans="1:10" x14ac:dyDescent="0.25">
      <c r="A45">
        <v>1</v>
      </c>
      <c r="B45">
        <v>22</v>
      </c>
      <c r="C45">
        <v>600</v>
      </c>
      <c r="D45">
        <v>1326</v>
      </c>
      <c r="E45">
        <v>219</v>
      </c>
      <c r="F45">
        <v>1545</v>
      </c>
      <c r="G45" t="s">
        <v>10</v>
      </c>
      <c r="H45">
        <f>B45*21</f>
        <v>462</v>
      </c>
      <c r="I45">
        <f>A45*H45*206</f>
        <v>95172</v>
      </c>
      <c r="J45">
        <f>I45*0.89</f>
        <v>84703.08</v>
      </c>
    </row>
    <row r="46" spans="1:10" x14ac:dyDescent="0.25">
      <c r="A46">
        <v>1</v>
      </c>
      <c r="B46">
        <v>23</v>
      </c>
      <c r="C46">
        <v>600</v>
      </c>
      <c r="D46">
        <v>1326</v>
      </c>
      <c r="E46">
        <v>219</v>
      </c>
      <c r="F46">
        <v>1545</v>
      </c>
      <c r="G46" t="s">
        <v>10</v>
      </c>
      <c r="H46">
        <f>B46*21</f>
        <v>483</v>
      </c>
      <c r="I46">
        <f>A46*H46*206</f>
        <v>99498</v>
      </c>
      <c r="J46">
        <f>I46*0.89</f>
        <v>88553.22</v>
      </c>
    </row>
    <row r="47" spans="1:10" x14ac:dyDescent="0.25">
      <c r="A47">
        <v>2</v>
      </c>
      <c r="B47">
        <v>21</v>
      </c>
      <c r="C47">
        <v>350</v>
      </c>
      <c r="D47">
        <f>D2</f>
        <v>3106</v>
      </c>
      <c r="E47">
        <f>E2</f>
        <v>369</v>
      </c>
      <c r="F47">
        <f>F2</f>
        <v>3475</v>
      </c>
      <c r="G47" t="s">
        <v>10</v>
      </c>
      <c r="H47">
        <f>B47*21</f>
        <v>441</v>
      </c>
      <c r="I47">
        <f>A47*H47*206</f>
        <v>181692</v>
      </c>
      <c r="J47">
        <f>I47*0.89</f>
        <v>161705.88</v>
      </c>
    </row>
    <row r="48" spans="1:10" x14ac:dyDescent="0.25">
      <c r="A48">
        <v>1</v>
      </c>
      <c r="B48">
        <v>26</v>
      </c>
      <c r="C48">
        <v>600</v>
      </c>
      <c r="D48">
        <v>1326</v>
      </c>
      <c r="E48">
        <v>219</v>
      </c>
      <c r="F48">
        <v>1545</v>
      </c>
      <c r="G48" t="s">
        <v>10</v>
      </c>
      <c r="H48">
        <f>B48*21</f>
        <v>546</v>
      </c>
      <c r="I48">
        <f>A48*H48*206</f>
        <v>112476</v>
      </c>
      <c r="J48">
        <f>I48*0.89</f>
        <v>100103.64</v>
      </c>
    </row>
    <row r="49" spans="1:10" x14ac:dyDescent="0.25">
      <c r="A49">
        <v>1</v>
      </c>
      <c r="B49">
        <v>24</v>
      </c>
      <c r="C49">
        <v>600</v>
      </c>
      <c r="D49">
        <v>1326</v>
      </c>
      <c r="E49">
        <v>219</v>
      </c>
      <c r="F49">
        <v>1545</v>
      </c>
      <c r="G49" t="s">
        <v>11</v>
      </c>
      <c r="H49">
        <f>B49*21</f>
        <v>504</v>
      </c>
      <c r="I49">
        <f>A49*H49*206</f>
        <v>103824</v>
      </c>
      <c r="J49">
        <f>I49*0.89</f>
        <v>92403.36</v>
      </c>
    </row>
    <row r="50" spans="1:10" x14ac:dyDescent="0.25">
      <c r="A50">
        <v>2</v>
      </c>
      <c r="B50">
        <v>23</v>
      </c>
      <c r="C50">
        <v>780</v>
      </c>
      <c r="D50">
        <v>3106</v>
      </c>
      <c r="E50">
        <v>369</v>
      </c>
      <c r="F50">
        <v>3475</v>
      </c>
      <c r="G50" t="s">
        <v>11</v>
      </c>
      <c r="H50">
        <f>B50*21</f>
        <v>483</v>
      </c>
      <c r="I50">
        <f>A50*H50*206</f>
        <v>198996</v>
      </c>
      <c r="J50">
        <f>I50*0.89</f>
        <v>177106.44</v>
      </c>
    </row>
    <row r="51" spans="1:10" x14ac:dyDescent="0.25">
      <c r="A51">
        <v>2</v>
      </c>
      <c r="B51">
        <v>16</v>
      </c>
      <c r="C51">
        <v>870</v>
      </c>
      <c r="D51">
        <v>3106</v>
      </c>
      <c r="E51">
        <v>369</v>
      </c>
      <c r="F51">
        <v>3475</v>
      </c>
      <c r="G51" t="s">
        <v>11</v>
      </c>
      <c r="H51">
        <f>B51*21</f>
        <v>336</v>
      </c>
      <c r="I51">
        <f>A51*H51*206</f>
        <v>138432</v>
      </c>
      <c r="J51">
        <f>I51*0.89</f>
        <v>123204.48</v>
      </c>
    </row>
    <row r="52" spans="1:10" x14ac:dyDescent="0.25">
      <c r="A52">
        <v>2</v>
      </c>
      <c r="B52">
        <v>18</v>
      </c>
      <c r="C52">
        <v>730</v>
      </c>
      <c r="D52">
        <v>3106</v>
      </c>
      <c r="E52">
        <v>369</v>
      </c>
      <c r="F52">
        <v>3475</v>
      </c>
      <c r="G52" t="s">
        <v>12</v>
      </c>
      <c r="H52">
        <f>B52*21</f>
        <v>378</v>
      </c>
      <c r="I52">
        <f>A52*H52*206</f>
        <v>155736</v>
      </c>
      <c r="J52">
        <f>I52*0.89</f>
        <v>138605.04</v>
      </c>
    </row>
    <row r="53" spans="1:10" x14ac:dyDescent="0.25">
      <c r="A53">
        <v>2</v>
      </c>
      <c r="B53">
        <v>21</v>
      </c>
      <c r="C53">
        <v>1100</v>
      </c>
      <c r="D53">
        <v>3106</v>
      </c>
      <c r="E53">
        <v>369</v>
      </c>
      <c r="F53">
        <v>3475</v>
      </c>
      <c r="G53" t="s">
        <v>12</v>
      </c>
      <c r="H53">
        <f>B53*21</f>
        <v>441</v>
      </c>
      <c r="I53">
        <f>A53*H53*206</f>
        <v>181692</v>
      </c>
      <c r="J53">
        <f>I53*0.89</f>
        <v>161705.88</v>
      </c>
    </row>
    <row r="54" spans="1:10" x14ac:dyDescent="0.25">
      <c r="A54">
        <v>2</v>
      </c>
      <c r="B54">
        <v>22</v>
      </c>
      <c r="C54">
        <v>1100</v>
      </c>
      <c r="D54">
        <v>3106</v>
      </c>
      <c r="E54">
        <v>369</v>
      </c>
      <c r="F54">
        <v>3475</v>
      </c>
      <c r="G54" t="s">
        <v>12</v>
      </c>
      <c r="H54">
        <f>B54*21</f>
        <v>462</v>
      </c>
      <c r="I54">
        <f>A54*H54*206</f>
        <v>190344</v>
      </c>
      <c r="J54">
        <f>I54*0.89</f>
        <v>169406.16</v>
      </c>
    </row>
    <row r="55" spans="1:10" x14ac:dyDescent="0.25">
      <c r="A55">
        <v>1</v>
      </c>
      <c r="B55">
        <v>19</v>
      </c>
      <c r="C55">
        <v>880</v>
      </c>
      <c r="D55">
        <v>1326</v>
      </c>
      <c r="E55">
        <v>219</v>
      </c>
      <c r="F55">
        <v>1545</v>
      </c>
      <c r="G55" t="s">
        <v>13</v>
      </c>
      <c r="H55">
        <f>B55*21</f>
        <v>399</v>
      </c>
      <c r="I55">
        <f>A55*H55*206</f>
        <v>82194</v>
      </c>
      <c r="J55">
        <f>I55*0.89</f>
        <v>73152.66</v>
      </c>
    </row>
    <row r="56" spans="1:10" x14ac:dyDescent="0.25">
      <c r="A56">
        <v>1</v>
      </c>
      <c r="B56">
        <v>17</v>
      </c>
      <c r="C56">
        <v>800</v>
      </c>
      <c r="D56">
        <v>1326</v>
      </c>
      <c r="E56">
        <v>219</v>
      </c>
      <c r="F56">
        <v>1545</v>
      </c>
      <c r="G56" t="s">
        <v>13</v>
      </c>
      <c r="H56">
        <f>B56*21</f>
        <v>357</v>
      </c>
      <c r="I56">
        <f>A56*H56*206</f>
        <v>73542</v>
      </c>
      <c r="J56">
        <f>I56*0.89</f>
        <v>65452.38</v>
      </c>
    </row>
    <row r="57" spans="1:10" x14ac:dyDescent="0.25">
      <c r="A57">
        <v>2</v>
      </c>
      <c r="B57">
        <v>23</v>
      </c>
      <c r="C57">
        <v>870</v>
      </c>
      <c r="D57">
        <f>D2</f>
        <v>3106</v>
      </c>
      <c r="E57">
        <f>E2</f>
        <v>369</v>
      </c>
      <c r="F57">
        <f>F2</f>
        <v>3475</v>
      </c>
      <c r="G57" t="s">
        <v>13</v>
      </c>
      <c r="H57">
        <f>B57*21</f>
        <v>483</v>
      </c>
      <c r="I57">
        <f>A57*H57*206</f>
        <v>198996</v>
      </c>
      <c r="J57">
        <f>I57*0.89</f>
        <v>177106.44</v>
      </c>
    </row>
    <row r="58" spans="1:10" x14ac:dyDescent="0.25">
      <c r="A58">
        <v>1</v>
      </c>
      <c r="B58">
        <v>28</v>
      </c>
      <c r="C58">
        <v>600</v>
      </c>
      <c r="D58">
        <f>D5</f>
        <v>1326</v>
      </c>
      <c r="E58">
        <f>E5</f>
        <v>219</v>
      </c>
      <c r="F58">
        <f>F5</f>
        <v>1545</v>
      </c>
      <c r="G58" t="s">
        <v>13</v>
      </c>
      <c r="H58">
        <f>B58*21</f>
        <v>588</v>
      </c>
      <c r="I58">
        <f>A58*H58*206</f>
        <v>121128</v>
      </c>
      <c r="J58">
        <f>I58*0.89</f>
        <v>107803.92</v>
      </c>
    </row>
    <row r="59" spans="1:10" x14ac:dyDescent="0.25">
      <c r="A59">
        <v>2</v>
      </c>
      <c r="B59">
        <v>25</v>
      </c>
      <c r="C59">
        <v>870</v>
      </c>
      <c r="D59">
        <v>3106</v>
      </c>
      <c r="E59">
        <v>369</v>
      </c>
      <c r="F59">
        <v>3475</v>
      </c>
      <c r="G59" t="s">
        <v>14</v>
      </c>
      <c r="H59">
        <f>B59*21</f>
        <v>525</v>
      </c>
      <c r="I59">
        <f>A59*H59*206</f>
        <v>216300</v>
      </c>
      <c r="J59">
        <f>I59*0.89</f>
        <v>192507</v>
      </c>
    </row>
    <row r="60" spans="1:10" x14ac:dyDescent="0.25">
      <c r="A60">
        <v>2</v>
      </c>
      <c r="B60">
        <v>21</v>
      </c>
      <c r="C60">
        <v>770</v>
      </c>
      <c r="D60">
        <v>3106</v>
      </c>
      <c r="E60">
        <v>369</v>
      </c>
      <c r="F60">
        <v>3475</v>
      </c>
      <c r="G60" t="s">
        <v>14</v>
      </c>
      <c r="H60">
        <f>B60*21</f>
        <v>441</v>
      </c>
      <c r="I60">
        <f>A60*H60*206</f>
        <v>181692</v>
      </c>
      <c r="J60">
        <f>I60*0.89</f>
        <v>161705.88</v>
      </c>
    </row>
    <row r="61" spans="1:10" x14ac:dyDescent="0.25">
      <c r="A61">
        <v>1</v>
      </c>
      <c r="B61">
        <v>18</v>
      </c>
      <c r="C61">
        <v>480</v>
      </c>
      <c r="D61">
        <v>1326</v>
      </c>
      <c r="E61">
        <v>219</v>
      </c>
      <c r="F61">
        <v>1545</v>
      </c>
      <c r="G61" t="s">
        <v>14</v>
      </c>
      <c r="H61">
        <f>B61*21</f>
        <v>378</v>
      </c>
      <c r="I61">
        <f>A61*H61*206</f>
        <v>77868</v>
      </c>
      <c r="J61">
        <f>I61*0.89</f>
        <v>69302.52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Roller</dc:creator>
  <cp:lastModifiedBy>Kent Roller</cp:lastModifiedBy>
  <dcterms:created xsi:type="dcterms:W3CDTF">2023-09-19T03:52:02Z</dcterms:created>
  <dcterms:modified xsi:type="dcterms:W3CDTF">2023-09-21T21:25:12Z</dcterms:modified>
</cp:coreProperties>
</file>